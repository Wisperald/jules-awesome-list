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фографика" sheetId="1" state="visible" r:id="rId3"/>
    <sheet name="Сводка" sheetId="2" state="visible" r:id="rId4"/>
    <sheet name="О документе" sheetId="3" state="visible" r:id="rId5"/>
  </sheets>
  <definedNames>
    <definedName function="false" hidden="false" localSheetId="0" name="_xlnm.Print_Titles" vbProcedure="false">Инфографика!$5:$8</definedName>
    <definedName function="false" hidden="true" localSheetId="0" name="_xlnm._FilterDatabase" vbProcedure="false">Инфографика!$A$8:$G$334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<sst xmlns="http://schemas.openxmlformats.org/spreadsheetml/2006/main" count="1158" uniqueCount="488">
  <si>
    <t xml:space="preserve">ИСЛАМ · БОЛЬШАЯ ХРОНОЛОГИЯ 570 — 2026</t>
  </si>
  <si>
    <t xml:space="preserve">ٱلْإِسْلَام</t>
  </si>
  <si>
    <t xml:space="preserve">Эпохи, события, державы, все ветви и расколы, школы права и вероучения, суфийские ордены, реформаторские и новые движения, личности. Столбец = десятилетие; полоса строится автоматически из столбцов «Начало» и «Конец».</t>
  </si>
  <si>
    <t xml:space="preserve">Цвета:  ■ сунниты  ■ шииты  ■ хариджиты/ибадиты  ■ калам и философия  ■ суфизм  ■ реформизм и новые движения  ■ гетеродоксия / спорный статус  ■ экстремизм (справочно)  ·  ▶ — течение существует сегодня</t>
  </si>
  <si>
    <t xml:space="preserve">ЭПОХИ</t>
  </si>
  <si>
    <t xml:space="preserve">Пророк</t>
  </si>
  <si>
    <t xml:space="preserve">Праведные халифы</t>
  </si>
  <si>
    <t xml:space="preserve">Омейяды</t>
  </si>
  <si>
    <t xml:space="preserve">Аббасидский расцвет</t>
  </si>
  <si>
    <t xml:space="preserve">Раздробленность · Буиды · Сельджуки · крестоносцы</t>
  </si>
  <si>
    <t xml:space="preserve">Монголы · мамлюки · Тимуриды</t>
  </si>
  <si>
    <t xml:space="preserve">Пороховые империи</t>
  </si>
  <si>
    <t xml:space="preserve">Колониализм и реформы</t>
  </si>
  <si>
    <t xml:space="preserve">Национальные государства</t>
  </si>
  <si>
    <t xml:space="preserve">Исламское возрождение и глобализация</t>
  </si>
  <si>
    <t xml:space="preserve">570</t>
  </si>
  <si>
    <t xml:space="preserve">600</t>
  </si>
  <si>
    <t xml:space="preserve">650</t>
  </si>
  <si>
    <t xml:space="preserve">700</t>
  </si>
  <si>
    <t xml:space="preserve">750</t>
  </si>
  <si>
    <t xml:space="preserve">800</t>
  </si>
  <si>
    <t xml:space="preserve">850</t>
  </si>
  <si>
    <t xml:space="preserve">900</t>
  </si>
  <si>
    <t xml:space="preserve">950</t>
  </si>
  <si>
    <t xml:space="preserve">1000</t>
  </si>
  <si>
    <t xml:space="preserve">1050</t>
  </si>
  <si>
    <t xml:space="preserve">1100</t>
  </si>
  <si>
    <t xml:space="preserve">1150</t>
  </si>
  <si>
    <t xml:space="preserve">1200</t>
  </si>
  <si>
    <t xml:space="preserve">1250</t>
  </si>
  <si>
    <t xml:space="preserve">1300</t>
  </si>
  <si>
    <t xml:space="preserve">1350</t>
  </si>
  <si>
    <t xml:space="preserve">1400</t>
  </si>
  <si>
    <t xml:space="preserve">1450</t>
  </si>
  <si>
    <t xml:space="preserve">1500</t>
  </si>
  <si>
    <t xml:space="preserve">1550</t>
  </si>
  <si>
    <t xml:space="preserve">1600</t>
  </si>
  <si>
    <t xml:space="preserve">1650</t>
  </si>
  <si>
    <t xml:space="preserve">1700</t>
  </si>
  <si>
    <t xml:space="preserve">1750</t>
  </si>
  <si>
    <t xml:space="preserve">1800</t>
  </si>
  <si>
    <t xml:space="preserve">1850</t>
  </si>
  <si>
    <t xml:space="preserve">1900</t>
  </si>
  <si>
    <t xml:space="preserve">1950</t>
  </si>
  <si>
    <t xml:space="preserve">2000</t>
  </si>
  <si>
    <t xml:space="preserve">▶</t>
  </si>
  <si>
    <t xml:space="preserve">Раздел</t>
  </si>
  <si>
    <t xml:space="preserve">Название (течение, держава, событие, личность)</t>
  </si>
  <si>
    <t xml:space="preserve">Начало</t>
  </si>
  <si>
    <t xml:space="preserve">Конец</t>
  </si>
  <si>
    <t xml:space="preserve">Статус</t>
  </si>
  <si>
    <t xml:space="preserve">Лет</t>
  </si>
  <si>
    <t xml:space="preserve">Откололось от / примечание</t>
  </si>
  <si>
    <t xml:space="preserve">Цвет</t>
  </si>
  <si>
    <t xml:space="preserve">■ КЛЮЧЕВЫЕ СОБЫТИЯ</t>
  </si>
  <si>
    <t xml:space="preserve">Даты, изменившие ход истории уммы</t>
  </si>
  <si>
    <t xml:space="preserve">Ключевые события</t>
  </si>
  <si>
    <t xml:space="preserve">Рождение Мухаммада</t>
  </si>
  <si>
    <t xml:space="preserve">ev2</t>
  </si>
  <si>
    <t xml:space="preserve">Первое откровение</t>
  </si>
  <si>
    <t xml:space="preserve">Хиджра — 1 г. х.</t>
  </si>
  <si>
    <t xml:space="preserve">Бадр</t>
  </si>
  <si>
    <t xml:space="preserve">ev</t>
  </si>
  <si>
    <t xml:space="preserve">Взятие Мекки</t>
  </si>
  <si>
    <t xml:space="preserve">Смерть Пророка</t>
  </si>
  <si>
    <t xml:space="preserve">Ярмук</t>
  </si>
  <si>
    <t xml:space="preserve">Кадисия, Иерусалим</t>
  </si>
  <si>
    <t xml:space="preserve">Канон Корана (Усман)</t>
  </si>
  <si>
    <t xml:space="preserve">Убийство Усмана</t>
  </si>
  <si>
    <t xml:space="preserve">Сиффин → хариджиты</t>
  </si>
  <si>
    <t xml:space="preserve">Гибель Али</t>
  </si>
  <si>
    <t xml:space="preserve">Кербела</t>
  </si>
  <si>
    <t xml:space="preserve">Купол Скалы</t>
  </si>
  <si>
    <t xml:space="preserve">Испания и Синд</t>
  </si>
  <si>
    <t xml:space="preserve">Пуатье</t>
  </si>
  <si>
    <t xml:space="preserve">Восстание Зайда</t>
  </si>
  <si>
    <t xml:space="preserve">Аббасидская революция</t>
  </si>
  <si>
    <t xml:space="preserve">Талас (Тараз)</t>
  </si>
  <si>
    <t xml:space="preserve">Основание Багдада</t>
  </si>
  <si>
    <t xml:space="preserve">Смерть Джафара ас-Садика</t>
  </si>
  <si>
    <t xml:space="preserve">Михна</t>
  </si>
  <si>
    <t xml:space="preserve">Смерть аль-Бухари</t>
  </si>
  <si>
    <t xml:space="preserve">Сокрытие 12-го имама</t>
  </si>
  <si>
    <t xml:space="preserve">Казнь Халладжа · Булгария</t>
  </si>
  <si>
    <t xml:space="preserve">Карматы в Мекке</t>
  </si>
  <si>
    <t xml:space="preserve">Основание Каира</t>
  </si>
  <si>
    <t xml:space="preserve">Аль-Азхар</t>
  </si>
  <si>
    <t xml:space="preserve">Возникновение друзов</t>
  </si>
  <si>
    <t xml:space="preserve">Сельджуки в Багдаде</t>
  </si>
  <si>
    <t xml:space="preserve">Медресе Низамийя</t>
  </si>
  <si>
    <t xml:space="preserve">Манцикерт</t>
  </si>
  <si>
    <t xml:space="preserve">Раскол низаритов и мусталитов</t>
  </si>
  <si>
    <t xml:space="preserve">Крестоносцы в Иерусалиме</t>
  </si>
  <si>
    <t xml:space="preserve">Хаттин</t>
  </si>
  <si>
    <t xml:space="preserve">Чингисхан, Отрар</t>
  </si>
  <si>
    <t xml:space="preserve">Падение Багдада</t>
  </si>
  <si>
    <t xml:space="preserve">Айн-Джалут</t>
  </si>
  <si>
    <t xml:space="preserve">Хан Узбек</t>
  </si>
  <si>
    <t xml:space="preserve">Константинополь</t>
  </si>
  <si>
    <t xml:space="preserve">Казахское ханство</t>
  </si>
  <si>
    <t xml:space="preserve">Гранада</t>
  </si>
  <si>
    <t xml:space="preserve">Шиизм в Иране</t>
  </si>
  <si>
    <t xml:space="preserve">Османы в Египте</t>
  </si>
  <si>
    <t xml:space="preserve">Панипат</t>
  </si>
  <si>
    <t xml:space="preserve">Казань</t>
  </si>
  <si>
    <t xml:space="preserve">Вена</t>
  </si>
  <si>
    <t xml:space="preserve">Пакт в Дирии</t>
  </si>
  <si>
    <t xml:space="preserve">Оренбургский муфтият</t>
  </si>
  <si>
    <t xml:space="preserve">Наполеон в Египте</t>
  </si>
  <si>
    <t xml:space="preserve">Джихад дан Фодио</t>
  </si>
  <si>
    <t xml:space="preserve">Имамат Шамиля</t>
  </si>
  <si>
    <t xml:space="preserve">Декларация Баба</t>
  </si>
  <si>
    <t xml:space="preserve">Конец Моголов</t>
  </si>
  <si>
    <t xml:space="preserve">Деобанд</t>
  </si>
  <si>
    <t xml:space="preserve">Джадидизм</t>
  </si>
  <si>
    <t xml:space="preserve">Ахмадия</t>
  </si>
  <si>
    <t xml:space="preserve">Упразднение халифата</t>
  </si>
  <si>
    <t xml:space="preserve">Братья-мусульмане</t>
  </si>
  <si>
    <t xml:space="preserve">Саудовская Аравия</t>
  </si>
  <si>
    <t xml:space="preserve">Пакистан</t>
  </si>
  <si>
    <t xml:space="preserve">ОИС</t>
  </si>
  <si>
    <t xml:space="preserve">Иранская революция</t>
  </si>
  <si>
    <t xml:space="preserve">ДУМК</t>
  </si>
  <si>
    <t xml:space="preserve">11 сентября</t>
  </si>
  <si>
    <t xml:space="preserve">Амманское послание</t>
  </si>
  <si>
    <t xml:space="preserve">Арабская весна</t>
  </si>
  <si>
    <t xml:space="preserve">«Халифат» ИГИЛ</t>
  </si>
  <si>
    <t xml:space="preserve">Талибан в Кабуле</t>
  </si>
  <si>
    <t xml:space="preserve">Война в Газе</t>
  </si>
  <si>
    <t xml:space="preserve">Падение Асада</t>
  </si>
  <si>
    <t xml:space="preserve">Ага-хан V</t>
  </si>
  <si>
    <t xml:space="preserve">Гибель Али Хаменеи</t>
  </si>
  <si>
    <t xml:space="preserve">■ ДЕРЖАВЫ И ДИНАСТИИ</t>
  </si>
  <si>
    <t xml:space="preserve">Цвет — вероисповедание правящей династии</t>
  </si>
  <si>
    <t xml:space="preserve">Державы и династии</t>
  </si>
  <si>
    <t xml:space="preserve">Медина Пророка</t>
  </si>
  <si>
    <t xml:space="preserve">gold</t>
  </si>
  <si>
    <t xml:space="preserve">Праведный халифат</t>
  </si>
  <si>
    <t xml:space="preserve">Омейяды (Дамаск)</t>
  </si>
  <si>
    <t xml:space="preserve">sun</t>
  </si>
  <si>
    <t xml:space="preserve">Аббасиды (Багдад)</t>
  </si>
  <si>
    <t xml:space="preserve">Кордова: эмират → халифат</t>
  </si>
  <si>
    <t xml:space="preserve">Рустамиды</t>
  </si>
  <si>
    <t xml:space="preserve">kha</t>
  </si>
  <si>
    <t xml:space="preserve">Идрисиды</t>
  </si>
  <si>
    <t xml:space="preserve">mix</t>
  </si>
  <si>
    <t xml:space="preserve">Аглабиды</t>
  </si>
  <si>
    <t xml:space="preserve">Тахириды</t>
  </si>
  <si>
    <t xml:space="preserve">Караханиды</t>
  </si>
  <si>
    <t xml:space="preserve">Зайдиты Табаристана</t>
  </si>
  <si>
    <t xml:space="preserve">shi</t>
  </si>
  <si>
    <t xml:space="preserve">Тулуниды</t>
  </si>
  <si>
    <t xml:space="preserve">Саманиды</t>
  </si>
  <si>
    <t xml:space="preserve">Хамданиды</t>
  </si>
  <si>
    <t xml:space="preserve">Зайдитский имамат Йемена</t>
  </si>
  <si>
    <t xml:space="preserve">Фатимиды (Каир)</t>
  </si>
  <si>
    <t xml:space="preserve">Буиды</t>
  </si>
  <si>
    <t xml:space="preserve">Газневиды</t>
  </si>
  <si>
    <t xml:space="preserve">Великие Сельджуки</t>
  </si>
  <si>
    <t xml:space="preserve">Альморавиды</t>
  </si>
  <si>
    <t xml:space="preserve">Хорезмшахи</t>
  </si>
  <si>
    <t xml:space="preserve">Румский султанат</t>
  </si>
  <si>
    <t xml:space="preserve">Низариты Аламута</t>
  </si>
  <si>
    <t xml:space="preserve">Альмохады</t>
  </si>
  <si>
    <t xml:space="preserve">Айюбиды</t>
  </si>
  <si>
    <t xml:space="preserve">Делийский султанат</t>
  </si>
  <si>
    <t xml:space="preserve">Насриды (Гранада)</t>
  </si>
  <si>
    <t xml:space="preserve">Мали</t>
  </si>
  <si>
    <t xml:space="preserve">Золотая Орда</t>
  </si>
  <si>
    <t xml:space="preserve">Мамлюки</t>
  </si>
  <si>
    <t xml:space="preserve">Ильханы</t>
  </si>
  <si>
    <t xml:space="preserve">Аббасиды в Каире</t>
  </si>
  <si>
    <t xml:space="preserve">Османская империя</t>
  </si>
  <si>
    <t xml:space="preserve">Тимуриды</t>
  </si>
  <si>
    <t xml:space="preserve">Малакка</t>
  </si>
  <si>
    <t xml:space="preserve">Сонгай</t>
  </si>
  <si>
    <t xml:space="preserve">Ачех</t>
  </si>
  <si>
    <t xml:space="preserve">Бухара</t>
  </si>
  <si>
    <t xml:space="preserve">Сефевиды</t>
  </si>
  <si>
    <t xml:space="preserve">Великие Моголы</t>
  </si>
  <si>
    <t xml:space="preserve">Марокко (Алауиты)</t>
  </si>
  <si>
    <t xml:space="preserve">1-е Саудовское</t>
  </si>
  <si>
    <t xml:space="preserve">mod</t>
  </si>
  <si>
    <t xml:space="preserve">Оман (Бу Саиды)</t>
  </si>
  <si>
    <t xml:space="preserve">Каджары</t>
  </si>
  <si>
    <t xml:space="preserve">Сокото</t>
  </si>
  <si>
    <t xml:space="preserve">2-е Саудовское</t>
  </si>
  <si>
    <t xml:space="preserve">Махдисты</t>
  </si>
  <si>
    <t xml:space="preserve">Исламская Республика Иран</t>
  </si>
  <si>
    <t xml:space="preserve">Талибан</t>
  </si>
  <si>
    <t xml:space="preserve">■ ХАРИДЖИТЫ И ИБАДИТЫ</t>
  </si>
  <si>
    <t xml:space="preserve">Первое сектантское движение (657). Жива только ибадитская ветвь — Оман, Мзаб, Джерба, Нафуса.</t>
  </si>
  <si>
    <t xml:space="preserve">Хариджиты и ибадиты</t>
  </si>
  <si>
    <t xml:space="preserve">Мухаккима (харуриты)</t>
  </si>
  <si>
    <t xml:space="preserve">Азракиты</t>
  </si>
  <si>
    <t xml:space="preserve">← Мухаккима (харуриты)</t>
  </si>
  <si>
    <t xml:space="preserve">Наджадиты</t>
  </si>
  <si>
    <t xml:space="preserve">Суфриты (Мидрариды, берберское восстание 740)</t>
  </si>
  <si>
    <t xml:space="preserve">Ибадиты (Джабир ибн Зайд) — Оман, Мзаб, Джерба</t>
  </si>
  <si>
    <t xml:space="preserve">Аджардиты</t>
  </si>
  <si>
    <t xml:space="preserve">Нуккариты</t>
  </si>
  <si>
    <t xml:space="preserve">← Ибадиты (Джабир ибн Зайд) — Оман, Мзаб, Джерба</t>
  </si>
  <si>
    <t xml:space="preserve">■ ШИИЗМ</t>
  </si>
  <si>
    <t xml:space="preserve">«Партия Али»: власть — роду Пророка. Расколы происходят по вопросу о наследнике имама.</t>
  </si>
  <si>
    <t xml:space="preserve">Шиизм</t>
  </si>
  <si>
    <t xml:space="preserve">«Партия Али»</t>
  </si>
  <si>
    <t xml:space="preserve">Имамиты: линия Хусейна (имамы 3–11)</t>
  </si>
  <si>
    <t xml:space="preserve">← «Партия Али»</t>
  </si>
  <si>
    <t xml:space="preserve">Кайсаниты (Мухтар, Ибн аль-Ханафия)</t>
  </si>
  <si>
    <t xml:space="preserve">Гулат: мугириты, мансуриты, хаттабиты</t>
  </si>
  <si>
    <t xml:space="preserve">← Имамиты: линия Хусейна (имамы 3–11)</t>
  </si>
  <si>
    <t xml:space="preserve">Зайдиты (Зайд ибн Али, † 740) — Йемен</t>
  </si>
  <si>
    <t xml:space="preserve">Исмаилиты: период сокрытия (Саламия)</t>
  </si>
  <si>
    <t xml:space="preserve">Фатхиты · навуситы · вакифиты</t>
  </si>
  <si>
    <t xml:space="preserve">Нусайриты-алавиты — Сирия</t>
  </si>
  <si>
    <t xml:space="preserve">← Имамиты: линия Хусейна (имамы 3–11); спорный статус / вне ислама</t>
  </si>
  <si>
    <t xml:space="preserve">het</t>
  </si>
  <si>
    <t xml:space="preserve">Двунадесятники (исна‘ашариты) — Иран, Ирак, Азербайджан, Ливан</t>
  </si>
  <si>
    <t xml:space="preserve">Карматы (Бахрейн)</t>
  </si>
  <si>
    <t xml:space="preserve">← Исмаилиты: период сокрытия (Саламия)</t>
  </si>
  <si>
    <t xml:space="preserve">Фатимидский исмаилизм</t>
  </si>
  <si>
    <t xml:space="preserve">Друзы (аль-Хаким, Хамза)</t>
  </si>
  <si>
    <t xml:space="preserve">← Фатимидский исмаилизм; спорный статус / вне ислама</t>
  </si>
  <si>
    <t xml:space="preserve">Мусталиты</t>
  </si>
  <si>
    <t xml:space="preserve">← Фатимидский исмаилизм</t>
  </si>
  <si>
    <t xml:space="preserve">Низариты → Ага-ханы (Ага-хан V с 2025)</t>
  </si>
  <si>
    <t xml:space="preserve">Хафизиты</t>
  </si>
  <si>
    <t xml:space="preserve">← Мусталиты</t>
  </si>
  <si>
    <t xml:space="preserve">Тайибиты (да‘и аль-мутлак)</t>
  </si>
  <si>
    <t xml:space="preserve">Хуруфиты</t>
  </si>
  <si>
    <t xml:space="preserve">← Двунадесятники (исна‘ашариты) — Иран, Ирак, Азербайджан, Ливан; спорный статус / вне ислама</t>
  </si>
  <si>
    <t xml:space="preserve">Ахл-е хакк (Яресан)</t>
  </si>
  <si>
    <t xml:space="preserve">Кызылбаши</t>
  </si>
  <si>
    <t xml:space="preserve">Дауди бохра — Мумбаи</t>
  </si>
  <si>
    <t xml:space="preserve">← Тайибиты (да‘и аль-мутлак)</t>
  </si>
  <si>
    <t xml:space="preserve">Сулеймани — Наджран</t>
  </si>
  <si>
    <t xml:space="preserve">Алевиты — Турция</t>
  </si>
  <si>
    <t xml:space="preserve">← Кызылбаши; спорный статус / вне ислама</t>
  </si>
  <si>
    <t xml:space="preserve">Ахбариты</t>
  </si>
  <si>
    <t xml:space="preserve">← Двунадесятники (исна‘ашариты) — Иран, Ирак, Азербайджан, Ливан</t>
  </si>
  <si>
    <t xml:space="preserve">Алави бохра</t>
  </si>
  <si>
    <t xml:space="preserve">← Дауди бохра — Мумбаи</t>
  </si>
  <si>
    <t xml:space="preserve">Шейхиты</t>
  </si>
  <si>
    <t xml:space="preserve">Бабизм</t>
  </si>
  <si>
    <t xml:space="preserve">← Шейхиты; спорный статус / вне ислама</t>
  </si>
  <si>
    <t xml:space="preserve">Бахаизм — отдельная религия</t>
  </si>
  <si>
    <t xml:space="preserve">← Бабизм; спорный статус / вне ислама</t>
  </si>
  <si>
    <t xml:space="preserve">Хезболла</t>
  </si>
  <si>
    <t xml:space="preserve">← Двунадесятники (исна‘ашариты) — Иран, Ирак, Азербайджан, Ливан; политический ислам</t>
  </si>
  <si>
    <t xml:space="preserve">Хуситы «Ансар Аллах»</t>
  </si>
  <si>
    <t xml:space="preserve">← Зайдиты (Зайд ибн Али, † 740) — Йемен; политический ислам</t>
  </si>
  <si>
    <t xml:space="preserve">■ СУННИЗМ: ПРАВО И ВЕРОУЧЕНИЕ</t>
  </si>
  <si>
    <t xml:space="preserve">≈85–90% мусульман. Мазхабы — школы права, асариты / ашариты / матуридиты — школы вероучения.</t>
  </si>
  <si>
    <t xml:space="preserve">Суннизм: право и вероучение</t>
  </si>
  <si>
    <t xml:space="preserve">Джама‘а — «община большинства»</t>
  </si>
  <si>
    <t xml:space="preserve">Асариты / ахль аль-хадис</t>
  </si>
  <si>
    <t xml:space="preserve">← Джама‘а — «община большинства»</t>
  </si>
  <si>
    <t xml:space="preserve">Аузаиты</t>
  </si>
  <si>
    <t xml:space="preserve">Ханафиты (Абу Ханифа) — Турция, Центральная Азия, Казахстан, Южная Азия</t>
  </si>
  <si>
    <t xml:space="preserve">Саурийи</t>
  </si>
  <si>
    <t xml:space="preserve">Маликиты (Малик) — Магриб, Западная Африка</t>
  </si>
  <si>
    <t xml:space="preserve">Лейситы</t>
  </si>
  <si>
    <t xml:space="preserve">Шафииты (аш-Шафии) — Египет, Индонезия, Дагестан</t>
  </si>
  <si>
    <t xml:space="preserve">Ханбалиты (Ахмад ибн Ханбал) — Аравия</t>
  </si>
  <si>
    <t xml:space="preserve">← Асариты / ахль аль-хадис</t>
  </si>
  <si>
    <t xml:space="preserve">Захириты (Дауд, Ибн Хазм)</t>
  </si>
  <si>
    <t xml:space="preserve">Джаририты (ат-Табари)</t>
  </si>
  <si>
    <t xml:space="preserve">Ашариты (аль-Аш‘ари) — Азхар, шафииты, маликиты</t>
  </si>
  <si>
    <t xml:space="preserve">Матуридиты (аль-Матуриди) — ханафиты</t>
  </si>
  <si>
    <t xml:space="preserve">← Ханафиты (Абу Ханифа) — Турция, Центральная Азия, Казахстан, Южная Азия</t>
  </si>
  <si>
    <t xml:space="preserve">■ КАЛАМ, ФИЛОСОФИЯ, НАУКА</t>
  </si>
  <si>
    <t xml:space="preserve">Ранние богословские школы и фальсафа. Мутазилизм угас у суннитов, но жив в шиитском и зайдитском богословии.</t>
  </si>
  <si>
    <t xml:space="preserve">Калам, философия, наука</t>
  </si>
  <si>
    <t xml:space="preserve">Кадариты</t>
  </si>
  <si>
    <t xml:space="preserve">kal</t>
  </si>
  <si>
    <t xml:space="preserve">Мурджииты</t>
  </si>
  <si>
    <t xml:space="preserve">Джабриты, джахмиты</t>
  </si>
  <si>
    <t xml:space="preserve">Мутазилиты (Василь ибн Ата)</t>
  </si>
  <si>
    <t xml:space="preserve">← Кадариты</t>
  </si>
  <si>
    <t xml:space="preserve">Дом мудрости, переводы, аль-Хорезми, ар-Рази, аль-Бируни</t>
  </si>
  <si>
    <t xml:space="preserve">Фальсафа: аль-Кинди → аль-Фараби → Ибн Сина → Ибн Рушд</t>
  </si>
  <si>
    <t xml:space="preserve">Каррамиты</t>
  </si>
  <si>
    <t xml:space="preserve">Ишракизм (Сухраварди)</t>
  </si>
  <si>
    <t xml:space="preserve">← Фальсафа: аль-Кинди → аль-Фараби → Ибн Сина → Ибн Рушд</t>
  </si>
  <si>
    <t xml:space="preserve">Исфаханская школа, Мулла Садра</t>
  </si>
  <si>
    <t xml:space="preserve">← Ишракизм (Сухраварди)</t>
  </si>
  <si>
    <t xml:space="preserve">Исламский модернизм и неомутазилиты</t>
  </si>
  <si>
    <t xml:space="preserve">■ СУФИЗМ И ТАРИКАТЫ</t>
  </si>
  <si>
    <t xml:space="preserve">Мистическое измерение ислама у суннитов и шиитов. Братства обратили в ислам тюрок, Индию, Африку и Малайский мир.</t>
  </si>
  <si>
    <t xml:space="preserve">Суфизм и тарикаты</t>
  </si>
  <si>
    <t xml:space="preserve">Аскеты: Хасан аль-Басри, Рабиа</t>
  </si>
  <si>
    <t xml:space="preserve">suf</t>
  </si>
  <si>
    <t xml:space="preserve">Классический суфизм: Джунайд, Бистами, Халладж, аль-Газали</t>
  </si>
  <si>
    <t xml:space="preserve">← Аскеты: Хасан аль-Басри, Рабиа</t>
  </si>
  <si>
    <t xml:space="preserve">Кадирийя — Багдад → Африка, Кавказ</t>
  </si>
  <si>
    <t xml:space="preserve">← Классический суфизм: Джунайд, Бистами, Халладж, аль-Газали</t>
  </si>
  <si>
    <t xml:space="preserve">Ясавийя — Туркестан (Казахстан)</t>
  </si>
  <si>
    <t xml:space="preserve">Сухравардийя</t>
  </si>
  <si>
    <t xml:space="preserve">Рифаийя</t>
  </si>
  <si>
    <t xml:space="preserve">Кубравийя — Хорезм</t>
  </si>
  <si>
    <t xml:space="preserve">Чиштийя — Индия</t>
  </si>
  <si>
    <t xml:space="preserve">Шазилийя — Магриб, Египет</t>
  </si>
  <si>
    <t xml:space="preserve">Бекташийя — Анатолия → Тирана</t>
  </si>
  <si>
    <t xml:space="preserve">← Классический суфизм: Джунайд, Бистами, Халладж, аль-Газали; спорный статус / вне ислама</t>
  </si>
  <si>
    <t xml:space="preserve">Мевлевийя — Конья</t>
  </si>
  <si>
    <t xml:space="preserve">Бадавийя — Египет</t>
  </si>
  <si>
    <t xml:space="preserve">Сафавийя → династия Сефевидов</t>
  </si>
  <si>
    <t xml:space="preserve">Накшбандийя — Бухара</t>
  </si>
  <si>
    <t xml:space="preserve">Халватийя</t>
  </si>
  <si>
    <t xml:space="preserve">Ни‘матуллахийя (шииты)</t>
  </si>
  <si>
    <t xml:space="preserve">Муджаддидийя (Сирхинди)</t>
  </si>
  <si>
    <t xml:space="preserve">← Накшбандийя — Бухара</t>
  </si>
  <si>
    <t xml:space="preserve">Тиджанийя — Западная Африка</t>
  </si>
  <si>
    <t xml:space="preserve">← Шазилийя — Магриб, Египет</t>
  </si>
  <si>
    <t xml:space="preserve">Халидийя — Османы, Кавказ</t>
  </si>
  <si>
    <t xml:space="preserve">← Муджаддидийя (Сирхинди)</t>
  </si>
  <si>
    <t xml:space="preserve">Хатмийя — Судан</t>
  </si>
  <si>
    <t xml:space="preserve">Сануситийя — Ливия</t>
  </si>
  <si>
    <t xml:space="preserve">Муридийя — Сенегал</t>
  </si>
  <si>
    <t xml:space="preserve">← Кадирийя — Багдад → Африка, Кавказ</t>
  </si>
  <si>
    <t xml:space="preserve">■ РЕФОРМИЗМ И НОВЫЕ ДВИЖЕНИЯ</t>
  </si>
  <si>
    <t xml:space="preserve">XVIII–XXI вв.: возврат к истокам, модернизация, политизация; движения со спорным статусом отмечены фиолетовым.</t>
  </si>
  <si>
    <t xml:space="preserve">Реформизм и новые движения</t>
  </si>
  <si>
    <t xml:space="preserve">Ваххабизм → современный салафизм</t>
  </si>
  <si>
    <t xml:space="preserve">Тарика-йи мухаммадийя</t>
  </si>
  <si>
    <t xml:space="preserve">Фараизи</t>
  </si>
  <si>
    <t xml:space="preserve">Ахл-е хадис</t>
  </si>
  <si>
    <t xml:space="preserve">← Ваххабизм → современный салафизм</t>
  </si>
  <si>
    <t xml:space="preserve">Модернистская салафийя: аль-Афгани, Абдо, Рида</t>
  </si>
  <si>
    <t xml:space="preserve">Алигарх (Сайид Ахмад-хан)</t>
  </si>
  <si>
    <t xml:space="preserve">Барелви</t>
  </si>
  <si>
    <t xml:space="preserve">Махдия (Судан)</t>
  </si>
  <si>
    <t xml:space="preserve">Джадидизм (Гаспринский)</t>
  </si>
  <si>
    <t xml:space="preserve">Ахмадия (кадиани, лахори с 1914)</t>
  </si>
  <si>
    <t xml:space="preserve">спорный статус / вне ислама</t>
  </si>
  <si>
    <t xml:space="preserve">Коранисты</t>
  </si>
  <si>
    <t xml:space="preserve">Мухаммадия (Индонезия)</t>
  </si>
  <si>
    <t xml:space="preserve">Нурджулар (Саид Нурси)</t>
  </si>
  <si>
    <t xml:space="preserve">Таблиги джамаат</t>
  </si>
  <si>
    <t xml:space="preserve">← Деобанд</t>
  </si>
  <si>
    <t xml:space="preserve">Нахдатул Улама (Индонезия)</t>
  </si>
  <si>
    <t xml:space="preserve">Братья-мусульмане (аль-Банна, Кутб)</t>
  </si>
  <si>
    <t xml:space="preserve">← Модернистская салафийя: аль-Афгани, Абдо, Рида; политический ислам</t>
  </si>
  <si>
    <t xml:space="preserve">Нация ислама (США)</t>
  </si>
  <si>
    <t xml:space="preserve">Джамаат-и ислами (Маудуди)</t>
  </si>
  <si>
    <t xml:space="preserve">политический ислам</t>
  </si>
  <si>
    <t xml:space="preserve">Хизб ут-Тахрир</t>
  </si>
  <si>
    <t xml:space="preserve">Хизмет (Гюлен)</t>
  </si>
  <si>
    <t xml:space="preserve">← Нурджулар (Саид Нурси)</t>
  </si>
  <si>
    <t xml:space="preserve">Милли Гёрюш → ПСР (2001)</t>
  </si>
  <si>
    <t xml:space="preserve">ХАМАС</t>
  </si>
  <si>
    <t xml:space="preserve">← Братья-мусульмане (аль-Банна, Кутб); политический ислам</t>
  </si>
  <si>
    <t xml:space="preserve">■ РАДИКАЛЬНЫЙ ДЖИХАДИЗМ</t>
  </si>
  <si>
    <t xml:space="preserve">Справочно. Организации признаны террористическими в РК, РФ и/или ООН; отвергнуты большинством улемов.</t>
  </si>
  <si>
    <t xml:space="preserve">Радикальный джихадизм</t>
  </si>
  <si>
    <t xml:space="preserve">Такфир валь-хиджра</t>
  </si>
  <si>
    <t xml:space="preserve">← ; запрещена (РК/РФ/ООН)</t>
  </si>
  <si>
    <t xml:space="preserve">ext</t>
  </si>
  <si>
    <t xml:space="preserve">Аль-Каида</t>
  </si>
  <si>
    <t xml:space="preserve">запрещена (РК/РФ/ООН)</t>
  </si>
  <si>
    <t xml:space="preserve">Боко харам</t>
  </si>
  <si>
    <t xml:space="preserve">ИГИЛ</t>
  </si>
  <si>
    <t xml:space="preserve">← Аль-Каида; запрещена (РК/РФ/ООН)</t>
  </si>
  <si>
    <t xml:space="preserve">Нусра → ХТШ (распущена 2025)</t>
  </si>
  <si>
    <t xml:space="preserve">■ ЛИЧНОСТИ</t>
  </si>
  <si>
    <t xml:space="preserve">Годы жизни. Цвет — направление или сфера деятельности</t>
  </si>
  <si>
    <t xml:space="preserve">Личности</t>
  </si>
  <si>
    <t xml:space="preserve">Мухаммад</t>
  </si>
  <si>
    <t xml:space="preserve">Абу Бакр</t>
  </si>
  <si>
    <t xml:space="preserve">Усман</t>
  </si>
  <si>
    <t xml:space="preserve">Умар</t>
  </si>
  <si>
    <t xml:space="preserve">Али</t>
  </si>
  <si>
    <t xml:space="preserve">Муавия</t>
  </si>
  <si>
    <t xml:space="preserve">Аиша</t>
  </si>
  <si>
    <t xml:space="preserve">Хусейн</t>
  </si>
  <si>
    <t xml:space="preserve">Хасан аль-Басри</t>
  </si>
  <si>
    <t xml:space="preserve">Абу Ханифа</t>
  </si>
  <si>
    <t xml:space="preserve">Василь ибн Ата</t>
  </si>
  <si>
    <t xml:space="preserve">Джафар ас-Садик</t>
  </si>
  <si>
    <t xml:space="preserve">Малик</t>
  </si>
  <si>
    <t xml:space="preserve">Рабиа</t>
  </si>
  <si>
    <t xml:space="preserve">Харун ар-Рашид</t>
  </si>
  <si>
    <t xml:space="preserve">аш-Шафии</t>
  </si>
  <si>
    <t xml:space="preserve">аль-Хорезми</t>
  </si>
  <si>
    <t xml:space="preserve">Ахмад ибн Ханбал</t>
  </si>
  <si>
    <t xml:space="preserve">аль-Кинди</t>
  </si>
  <si>
    <t xml:space="preserve">аль-Бухари</t>
  </si>
  <si>
    <t xml:space="preserve">ат-Табари</t>
  </si>
  <si>
    <t xml:space="preserve">аль-Матуриди</t>
  </si>
  <si>
    <t xml:space="preserve">аль-Халладж</t>
  </si>
  <si>
    <t xml:space="preserve">аль-Фараби</t>
  </si>
  <si>
    <t xml:space="preserve">аль-Аш‘ари</t>
  </si>
  <si>
    <t xml:space="preserve">аль-Бируни</t>
  </si>
  <si>
    <t xml:space="preserve">Ибн Сина</t>
  </si>
  <si>
    <t xml:space="preserve">Хамза ибн Али</t>
  </si>
  <si>
    <t xml:space="preserve">Ибн Хазм</t>
  </si>
  <si>
    <t xml:space="preserve">ат-Туси (шейх)</t>
  </si>
  <si>
    <t xml:space="preserve">Насир Хусрау</t>
  </si>
  <si>
    <t xml:space="preserve">Хасан ас-Саббах</t>
  </si>
  <si>
    <t xml:space="preserve">аль-Газали</t>
  </si>
  <si>
    <t xml:space="preserve">аль-Гиляни</t>
  </si>
  <si>
    <t xml:space="preserve">Ахмед Ясави</t>
  </si>
  <si>
    <t xml:space="preserve">Ибн Рушд</t>
  </si>
  <si>
    <t xml:space="preserve">Салах ад-Дин</t>
  </si>
  <si>
    <t xml:space="preserve">Ибн Араби</t>
  </si>
  <si>
    <t xml:space="preserve">Насир ад-Дин ат-Туси</t>
  </si>
  <si>
    <t xml:space="preserve">Руми</t>
  </si>
  <si>
    <t xml:space="preserve">Ибн Таймийя</t>
  </si>
  <si>
    <t xml:space="preserve">Бахауддин Накшбанд</t>
  </si>
  <si>
    <t xml:space="preserve">Ибн Халдун</t>
  </si>
  <si>
    <t xml:space="preserve">Тимур</t>
  </si>
  <si>
    <t xml:space="preserve">Мехмед II</t>
  </si>
  <si>
    <t xml:space="preserve">Навои</t>
  </si>
  <si>
    <t xml:space="preserve">Бабур</t>
  </si>
  <si>
    <t xml:space="preserve">Исмаил I</t>
  </si>
  <si>
    <t xml:space="preserve">Сулейман I</t>
  </si>
  <si>
    <t xml:space="preserve">Акбар</t>
  </si>
  <si>
    <t xml:space="preserve">Ахмад Сирхинди</t>
  </si>
  <si>
    <t xml:space="preserve">Мулла Садра</t>
  </si>
  <si>
    <t xml:space="preserve">Маджлиси</t>
  </si>
  <si>
    <t xml:space="preserve">Шах Валиуллах</t>
  </si>
  <si>
    <t xml:space="preserve">Ибн Абд аль-Ваххаб</t>
  </si>
  <si>
    <t xml:space="preserve">аль-Ахсаи</t>
  </si>
  <si>
    <t xml:space="preserve">Усман дан Фодио</t>
  </si>
  <si>
    <t xml:space="preserve">Имам Шамиль</t>
  </si>
  <si>
    <t xml:space="preserve">Эмир Абд аль-Кадир</t>
  </si>
  <si>
    <t xml:space="preserve">Бахаулла</t>
  </si>
  <si>
    <t xml:space="preserve">Баб</t>
  </si>
  <si>
    <t xml:space="preserve">Мирза Гулам Ахмад</t>
  </si>
  <si>
    <t xml:space="preserve">аль-Афгани</t>
  </si>
  <si>
    <t xml:space="preserve">Абай</t>
  </si>
  <si>
    <t xml:space="preserve">Мухаммад Абдо</t>
  </si>
  <si>
    <t xml:space="preserve">Гаспринский</t>
  </si>
  <si>
    <t xml:space="preserve">Ахмад Раза-хан</t>
  </si>
  <si>
    <t xml:space="preserve">Икбал</t>
  </si>
  <si>
    <t xml:space="preserve">Саид Нурси</t>
  </si>
  <si>
    <t xml:space="preserve">Хомейни</t>
  </si>
  <si>
    <t xml:space="preserve">Маудуди</t>
  </si>
  <si>
    <t xml:space="preserve">pol</t>
  </si>
  <si>
    <t xml:space="preserve">аль-Банна</t>
  </si>
  <si>
    <t xml:space="preserve">Сайид Кутб</t>
  </si>
  <si>
    <t xml:space="preserve">аль-Карадави</t>
  </si>
  <si>
    <t xml:space="preserve">Систани (род. 1930)</t>
  </si>
  <si>
    <t xml:space="preserve">Ага-хан IV</t>
  </si>
  <si>
    <t xml:space="preserve">Али Хаменеи</t>
  </si>
  <si>
    <t xml:space="preserve">Гюлен</t>
  </si>
  <si>
    <t xml:space="preserve">Бен Ладен</t>
  </si>
  <si>
    <t xml:space="preserve">Моджтаба Хаменеи (род. 1969)</t>
  </si>
  <si>
    <t xml:space="preserve">Ага-хан V (род. 1971)</t>
  </si>
  <si>
    <t xml:space="preserve">Примечания</t>
  </si>
  <si>
    <t xml:space="preserve">Синие числа в «Начало»/«Конец» — вводимые данные: измените их, и полоса, статус и длительность пересчитаются автоматически.</t>
  </si>
  <si>
    <t xml:space="preserve">Столбец временной шкалы = десятилетие (570–579, 580–589 … 2020–2029); события внутри одного десятилетия попадают в одну ячейку. Точные годы — в столбцах C–D.</t>
  </si>
  <si>
    <t xml:space="preserve">Для существующих течений «Конец» = 2026 (состояние на осень 2026 г.). Даты ранних событий приблизительны.</t>
  </si>
  <si>
    <t xml:space="preserve">Источник: энциклопедия «Ислам: история веры, личности, течения» (2026) и её инфографика; численность — Pew Research Center (2025).</t>
  </si>
  <si>
    <t xml:space="preserve">Организации, отмеченные тёмно-красным, признаны террористическими в РК, РФ и/или ООН; сведения носят справочный характер.</t>
  </si>
  <si>
    <t xml:space="preserve">Сводка по разделам хронологии</t>
  </si>
  <si>
    <t xml:space="preserve">Все значения — формулы, ссылающиеся на лист «Инфографика».</t>
  </si>
  <si>
    <t xml:space="preserve">Всего строк</t>
  </si>
  <si>
    <t xml:space="preserve">Существуют / живы сегодня</t>
  </si>
  <si>
    <t xml:space="preserve">В прошлом / события</t>
  </si>
  <si>
    <t xml:space="preserve">Самое раннее начало</t>
  </si>
  <si>
    <t xml:space="preserve">Самое позднее начало</t>
  </si>
  <si>
    <t xml:space="preserve">Доля существующих</t>
  </si>
  <si>
    <t xml:space="preserve">ИТОГО</t>
  </si>
  <si>
    <t xml:space="preserve">Мусульманский мир сегодня (оценки)</t>
  </si>
  <si>
    <t xml:space="preserve">Мусульман в мире, млрд (2020)</t>
  </si>
  <si>
    <t xml:space="preserve">Доля в населении Земли</t>
  </si>
  <si>
    <t xml:space="preserve">Сунниты, доля (оценка 85–90%)</t>
  </si>
  <si>
    <t xml:space="preserve">Шииты, доля (оценка 10–13%)</t>
  </si>
  <si>
    <t xml:space="preserve">Ибадиты, доля</t>
  </si>
  <si>
    <t xml:space="preserve">Государств — членов ОИС</t>
  </si>
  <si>
    <t xml:space="preserve">Прогноз численности на 2050 г., млрд</t>
  </si>
  <si>
    <t xml:space="preserve">Источник: Pew Research Center, «How the Global Religious Landscape Changed From 2010 to 2020» (2025); доли сунниты/шииты — середина диапазона оценок.</t>
  </si>
  <si>
    <t xml:space="preserve">Ислам · Большая хронология 570–2026 — Excel-версия инфографики</t>
  </si>
  <si>
    <t xml:space="preserve">Как читать</t>
  </si>
  <si>
    <t xml:space="preserve">• Лист «Инфографика»: каждая строка — событие, держава, течение или личность; цветная полоса справа показывает период существования.</t>
  </si>
  <si>
    <t xml:space="preserve">• Столбец «Откололось от» показывает, от какой ветви произошло течение (точка раскола).</t>
  </si>
  <si>
    <t xml:space="preserve">• ▶ в последнем столбце — течение или государство существует сегодня.</t>
  </si>
  <si>
    <t xml:space="preserve">• Фильтры в заголовке таблицы позволяют отобрать раздел, статус или период.</t>
  </si>
  <si>
    <t xml:space="preserve">Как редактировать</t>
  </si>
  <si>
    <t xml:space="preserve">• Меняйте только синие числа в столбцах «Начало» и «Конец» — полосы, статус, длительность и «Сводка» пересчитаются.</t>
  </si>
  <si>
    <t xml:space="preserve">• Новую строку добавляйте внутри раздела: скопируйте соседнюю строку целиком (цветовой код в скрытом столбце H задаёт цвет полосы).</t>
  </si>
  <si>
    <t xml:space="preserve">• Коды цветов: sun — сунниты, shi — шииты, kha — хариджиты/ибадиты, kal — калам и философия, suf — суфизм, mod — реформизм, het — гетеродоксия, ext — экстремизм, mix — смешанная, gold — умма, ev/ev2 — события.</t>
  </si>
  <si>
    <t xml:space="preserve">Оговорки</t>
  </si>
  <si>
    <t xml:space="preserve">• Шкала — по десятилетиям; события одного десятилетия попадают в одну ячейку.</t>
  </si>
  <si>
    <t xml:space="preserve">• Даты ранних периодов приблизительны; численность общин — диапазоны оценок.</t>
  </si>
  <si>
    <t xml:space="preserve">• Сведения о 2025–2026 гг. — по состоянию на осень 2026 г.</t>
  </si>
  <si>
    <t xml:space="preserve">• Упоминание запрещённых организаций носит справочно-исторический характер.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</si>
</sst>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26"/>
      <color rgb="FFE9C877"/>
      <name val="Arial"/>
      <family val="0"/>
      <charset val="1"/>
    </font>
    <font>
      <i val="true"/>
      <sz val="11"/>
      <color rgb="FFF1E4C2"/>
      <name val="Arial"/>
      <family val="0"/>
      <charset val="1"/>
    </font>
    <font>
      <sz val="10"/>
      <color rgb="FFCFE3DA"/>
      <name val="Arial"/>
      <family val="0"/>
      <charset val="1"/>
    </font>
    <font>
      <b val="true"/>
      <sz val="10"/>
      <color rgb="FF0E5A4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6A7078"/>
      <name val="Arial"/>
      <family val="0"/>
      <charset val="1"/>
    </font>
    <font>
      <b val="true"/>
      <sz val="9"/>
      <color rgb="FF14171B"/>
      <name val="Arial"/>
      <family val="0"/>
      <charset val="1"/>
    </font>
    <font>
      <sz val="8"/>
      <color rgb="FFB8892B"/>
      <name val="Arial"/>
      <family val="0"/>
      <charset val="1"/>
    </font>
    <font>
      <sz val="5"/>
      <color rgb="FFB8B0A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7"/>
      <color rgb="FF9AA0A6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8"/>
      <name val="Arial"/>
      <family val="0"/>
      <charset val="1"/>
    </font>
    <font>
      <sz val="8"/>
      <color rgb="FF6A7078"/>
      <name val="Arial"/>
      <family val="0"/>
      <charset val="1"/>
    </font>
    <font>
      <sz val="8"/>
      <color rgb="FF8A5F10"/>
      <name val="Arial"/>
      <family val="0"/>
      <charset val="1"/>
    </font>
    <font>
      <sz val="9"/>
      <name val="Arial"/>
      <family val="0"/>
      <charset val="1"/>
    </font>
    <font>
      <sz val="8"/>
      <color rgb="FF0E7A5A"/>
      <name val="Arial"/>
      <family val="0"/>
      <charset val="1"/>
    </font>
    <font>
      <sz val="8"/>
      <color rgb="FFB4531F"/>
      <name val="Arial"/>
      <family val="0"/>
      <charset val="1"/>
    </font>
    <font>
      <sz val="8"/>
      <color rgb="FF6B7280"/>
      <name val="Arial"/>
      <family val="0"/>
      <charset val="1"/>
    </font>
    <font>
      <sz val="8"/>
      <color rgb="FF3346A8"/>
      <name val="Arial"/>
      <family val="0"/>
      <charset val="1"/>
    </font>
    <font>
      <sz val="8"/>
      <color rgb="FFC0395A"/>
      <name val="Arial"/>
      <family val="0"/>
      <charset val="1"/>
    </font>
    <font>
      <sz val="8"/>
      <color rgb="FF6F52A8"/>
      <name val="Arial"/>
      <family val="0"/>
      <charset val="1"/>
    </font>
    <font>
      <sz val="8"/>
      <color rgb="FFA06A00"/>
      <name val="Arial"/>
      <family val="0"/>
      <charset val="1"/>
    </font>
    <font>
      <sz val="8"/>
      <color rgb="FF0090B0"/>
      <name val="Arial"/>
      <family val="0"/>
      <charset val="1"/>
    </font>
    <font>
      <sz val="8"/>
      <color rgb="FF8B1E1E"/>
      <name val="Arial"/>
      <family val="0"/>
      <charset val="1"/>
    </font>
    <font>
      <sz val="8"/>
      <color rgb="FF3A4048"/>
      <name val="Arial"/>
      <family val="0"/>
      <charset val="1"/>
    </font>
    <font>
      <b val="true"/>
      <sz val="16"/>
      <color rgb="FF062E23"/>
      <name val="Arial"/>
      <family val="0"/>
      <charset val="1"/>
    </font>
    <font>
      <i val="true"/>
      <sz val="9"/>
      <color rgb="FF6A70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62E2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A7078"/>
      <name val="Arial"/>
      <family val="0"/>
      <charset val="1"/>
    </font>
    <font>
      <b val="true"/>
      <sz val="12"/>
      <color rgb="FF0E5A43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62E23"/>
        <bgColor rgb="FF14171B"/>
      </patternFill>
    </fill>
    <fill>
      <patternFill patternType="solid">
        <fgColor rgb="FFFBF9F4"/>
        <bgColor rgb="FFFFFFFF"/>
      </patternFill>
    </fill>
    <fill>
      <patternFill patternType="solid">
        <fgColor rgb="FF0B4A38"/>
        <bgColor rgb="FF0E5A43"/>
      </patternFill>
    </fill>
    <fill>
      <patternFill patternType="solid">
        <fgColor rgb="FF0E5A43"/>
        <bgColor rgb="FF0B4A38"/>
      </patternFill>
    </fill>
    <fill>
      <patternFill patternType="solid">
        <fgColor rgb="FF3A4048"/>
        <bgColor rgb="FF0B4A38"/>
      </patternFill>
    </fill>
    <fill>
      <patternFill patternType="solid">
        <fgColor rgb="FFB4531F"/>
        <bgColor rgb="FFA06A00"/>
      </patternFill>
    </fill>
    <fill>
      <patternFill patternType="solid">
        <fgColor rgb="FF3346A8"/>
        <bgColor rgb="FF3A4048"/>
      </patternFill>
    </fill>
    <fill>
      <patternFill patternType="solid">
        <fgColor rgb="FF0E7A5A"/>
        <bgColor rgb="FF0E5A43"/>
      </patternFill>
    </fill>
    <fill>
      <patternFill patternType="solid">
        <fgColor rgb="FFA06A00"/>
        <bgColor rgb="FF8A5F10"/>
      </patternFill>
    </fill>
    <fill>
      <patternFill patternType="solid">
        <fgColor rgb="FF0090B0"/>
        <bgColor rgb="FF0066CC"/>
      </patternFill>
    </fill>
    <fill>
      <patternFill patternType="solid">
        <fgColor rgb="FFC0395A"/>
        <bgColor rgb="FFB4531F"/>
      </patternFill>
    </fill>
    <fill>
      <patternFill patternType="solid">
        <fgColor rgb="FF8B1E1E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CFB8"/>
      </left>
      <right/>
      <top/>
      <bottom/>
      <diagonal/>
    </border>
    <border diagonalUp="false" diagonalDown="false">
      <left/>
      <right/>
      <top/>
      <bottom style="thin">
        <color rgb="FFE6DFCF"/>
      </bottom>
      <diagonal/>
    </border>
    <border diagonalUp="false" diagonalDown="false">
      <left/>
      <right/>
      <top style="medium">
        <color rgb="FF062E2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0090B0"/>
          <bgColor rgb="FF000000"/>
        </patternFill>
      </fill>
    </dxf>
    <dxf>
      <fill>
        <patternFill patternType="solid">
          <fgColor rgb="FF062E23"/>
          <bgColor rgb="FF000000"/>
        </patternFill>
      </fill>
    </dxf>
    <dxf>
      <fill>
        <patternFill patternType="solid">
          <fgColor rgb="FF0E5A43"/>
          <bgColor rgb="FF000000"/>
        </patternFill>
      </fill>
    </dxf>
    <dxf>
      <fill>
        <patternFill patternType="solid">
          <fgColor rgb="FF0E7A5A"/>
          <bgColor rgb="FF000000"/>
        </patternFill>
      </fill>
    </dxf>
    <dxf>
      <fill>
        <patternFill patternType="solid">
          <fgColor rgb="FF3346A8"/>
          <bgColor rgb="FF000000"/>
        </patternFill>
      </fill>
    </dxf>
    <dxf>
      <fill>
        <patternFill patternType="solid">
          <fgColor rgb="FF3A4048"/>
          <bgColor rgb="FF000000"/>
        </patternFill>
      </fill>
    </dxf>
    <dxf>
      <fill>
        <patternFill patternType="solid">
          <fgColor rgb="FF8B1E1E"/>
          <bgColor rgb="FF000000"/>
        </patternFill>
      </fill>
    </dxf>
    <dxf>
      <fill>
        <patternFill patternType="solid">
          <fgColor rgb="FFA06A00"/>
          <bgColor rgb="FF000000"/>
        </patternFill>
      </fill>
    </dxf>
    <dxf>
      <fill>
        <patternFill patternType="solid">
          <fgColor rgb="FFB4531F"/>
          <bgColor rgb="FF000000"/>
        </patternFill>
      </fill>
    </dxf>
    <dxf>
      <fill>
        <patternFill patternType="solid">
          <fgColor rgb="FFC039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A7078"/>
          <bgColor rgb="FF000000"/>
        </patternFill>
      </fill>
    </dxf>
    <dxf>
      <fill>
        <patternFill>
          <bgColor rgb="FF0E7A5A"/>
        </patternFill>
      </fill>
    </dxf>
    <dxf>
      <fill>
        <patternFill>
          <bgColor rgb="FF3346A8"/>
        </patternFill>
      </fill>
    </dxf>
    <dxf>
      <fill>
        <patternFill>
          <bgColor rgb="FFB4531F"/>
        </patternFill>
      </fill>
    </dxf>
    <dxf>
      <fill>
        <patternFill>
          <bgColor rgb="FFA06A00"/>
        </patternFill>
      </fill>
    </dxf>
    <dxf>
      <fill>
        <patternFill>
          <bgColor rgb="FF0090B0"/>
        </patternFill>
      </fill>
    </dxf>
    <dxf>
      <fill>
        <patternFill>
          <bgColor rgb="FFC0395A"/>
        </patternFill>
      </fill>
    </dxf>
    <dxf>
      <fill>
        <patternFill>
          <bgColor rgb="FF8B1E1E"/>
        </patternFill>
      </fill>
    </dxf>
    <dxf>
      <fill>
        <patternFill>
          <bgColor rgb="FF6F52A8"/>
        </patternFill>
      </fill>
    </dxf>
    <dxf>
      <fill>
        <patternFill>
          <bgColor rgb="FF6B7280"/>
        </patternFill>
      </fill>
    </dxf>
    <dxf>
      <fill>
        <patternFill>
          <bgColor rgb="FFB8892B"/>
        </patternFill>
      </fill>
    </dxf>
    <dxf>
      <fill>
        <patternFill>
          <bgColor rgb="FF8A5F1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5A43"/>
      <rgbColor rgb="FF000080"/>
      <rgbColor rgb="FFA06A00"/>
      <rgbColor rgb="FF800080"/>
      <rgbColor rgb="FF0E7A5A"/>
      <rgbColor rgb="FFB8B0A0"/>
      <rgbColor rgb="FF6A7078"/>
      <rgbColor rgb="FF9999FF"/>
      <rgbColor rgb="FFC0395A"/>
      <rgbColor rgb="FFFBF9F4"/>
      <rgbColor rgb="FFCCFFFF"/>
      <rgbColor rgb="FF660066"/>
      <rgbColor rgb="FFFF8080"/>
      <rgbColor rgb="FF0066CC"/>
      <rgbColor rgb="FFCFE3DA"/>
      <rgbColor rgb="FF000080"/>
      <rgbColor rgb="FFFF00FF"/>
      <rgbColor rgb="FFFFFF00"/>
      <rgbColor rgb="FF00FFFF"/>
      <rgbColor rgb="FF800080"/>
      <rgbColor rgb="FF800000"/>
      <rgbColor rgb="FF0090B0"/>
      <rgbColor rgb="FF0000FF"/>
      <rgbColor rgb="FF00CCFF"/>
      <rgbColor rgb="FFCCFFFF"/>
      <rgbColor rgb="FFE6DFCF"/>
      <rgbColor rgb="FFF1E4C2"/>
      <rgbColor rgb="FFD9CFB8"/>
      <rgbColor rgb="FFFF99CC"/>
      <rgbColor rgb="FFCC99FF"/>
      <rgbColor rgb="FFE9C877"/>
      <rgbColor rgb="FF6F52A8"/>
      <rgbColor rgb="FF33CCCC"/>
      <rgbColor rgb="FF99CC00"/>
      <rgbColor rgb="FFFFCC00"/>
      <rgbColor rgb="FFB8892B"/>
      <rgbColor rgb="FF8A5F10"/>
      <rgbColor rgb="FF6B7280"/>
      <rgbColor rgb="FF9AA0A6"/>
      <rgbColor rgb="FF0B4A38"/>
      <rgbColor rgb="FF339966"/>
      <rgbColor rgb="FF062E23"/>
      <rgbColor rgb="FF14171B"/>
      <rgbColor rgb="FF8B1E1E"/>
      <rgbColor rgb="FFB4531F"/>
      <rgbColor rgb="FF3346A8"/>
      <rgbColor rgb="FF3A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5A43"/>
    <pageSetUpPr fitToPage="true"/>
  </sheetPr>
  <dimension ref="A1:EZ3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J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30"/>
    <col collapsed="false" customWidth="true" hidden="true" outlineLevel="0" max="8" min="8" style="0" width="6"/>
    <col collapsed="false" customWidth="true" hidden="false" outlineLevel="0" max="9" min="9" style="0" width="3"/>
    <col collapsed="false" customWidth="true" hidden="false" outlineLevel="0" max="156" min="10" style="0" width="1.7"/>
  </cols>
  <sheetData>
    <row r="1" customFormat="false" ht="43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3" t="s">
        <v>1</v>
      </c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</row>
    <row r="2" customFormat="false" ht="21.75" hidden="false" customHeight="true" outlineLevel="0" collapsed="false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</row>
    <row r="3" customFormat="false" ht="19.5" hidden="false" customHeight="true" outlineLevel="0" collapsed="false">
      <c r="A3" s="5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</row>
    <row r="4" customFormat="false" ht="7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customFormat="false" ht="30" hidden="false" customHeight="true" outlineLevel="0" collapsed="false">
      <c r="B5" s="7" t="s">
        <v>4</v>
      </c>
      <c r="J5" s="8" t="s">
        <v>5</v>
      </c>
      <c r="K5" s="8"/>
      <c r="L5" s="8"/>
      <c r="M5" s="8"/>
      <c r="N5" s="8"/>
      <c r="O5" s="8"/>
      <c r="P5" s="8"/>
      <c r="Q5" s="9" t="s">
        <v>6</v>
      </c>
      <c r="R5" s="9"/>
      <c r="S5" s="9"/>
      <c r="T5" s="8" t="s">
        <v>7</v>
      </c>
      <c r="U5" s="8"/>
      <c r="V5" s="8"/>
      <c r="W5" s="8"/>
      <c r="X5" s="8"/>
      <c r="Y5" s="8"/>
      <c r="Z5" s="8"/>
      <c r="AA5" s="8"/>
      <c r="AB5" s="9" t="s">
        <v>8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8" t="s">
        <v>9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9" t="s">
        <v>10</v>
      </c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8" t="s">
        <v>11</v>
      </c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9" t="s">
        <v>12</v>
      </c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8" t="s">
        <v>13</v>
      </c>
      <c r="EQ5" s="8"/>
      <c r="ER5" s="8"/>
      <c r="ES5" s="8"/>
      <c r="ET5" s="8"/>
      <c r="EU5" s="9" t="s">
        <v>14</v>
      </c>
      <c r="EV5" s="9"/>
      <c r="EW5" s="9"/>
      <c r="EX5" s="9"/>
      <c r="EY5" s="9"/>
    </row>
    <row r="6" customFormat="false" ht="15.75" hidden="false" customHeight="true" outlineLevel="0" collapsed="false">
      <c r="J6" s="10" t="s">
        <v>15</v>
      </c>
      <c r="K6" s="10"/>
      <c r="L6" s="10"/>
      <c r="M6" s="11" t="s">
        <v>16</v>
      </c>
      <c r="N6" s="11"/>
      <c r="O6" s="11"/>
      <c r="P6" s="11"/>
      <c r="Q6" s="11"/>
      <c r="R6" s="10" t="s">
        <v>17</v>
      </c>
      <c r="S6" s="10"/>
      <c r="T6" s="10"/>
      <c r="U6" s="10"/>
      <c r="V6" s="10"/>
      <c r="W6" s="11" t="s">
        <v>18</v>
      </c>
      <c r="X6" s="11"/>
      <c r="Y6" s="11"/>
      <c r="Z6" s="11"/>
      <c r="AA6" s="11"/>
      <c r="AB6" s="10" t="s">
        <v>19</v>
      </c>
      <c r="AC6" s="10"/>
      <c r="AD6" s="10"/>
      <c r="AE6" s="10"/>
      <c r="AF6" s="10"/>
      <c r="AG6" s="11" t="s">
        <v>20</v>
      </c>
      <c r="AH6" s="11"/>
      <c r="AI6" s="11"/>
      <c r="AJ6" s="11"/>
      <c r="AK6" s="11"/>
      <c r="AL6" s="10" t="s">
        <v>21</v>
      </c>
      <c r="AM6" s="10"/>
      <c r="AN6" s="10"/>
      <c r="AO6" s="10"/>
      <c r="AP6" s="10"/>
      <c r="AQ6" s="11" t="s">
        <v>22</v>
      </c>
      <c r="AR6" s="11"/>
      <c r="AS6" s="11"/>
      <c r="AT6" s="11"/>
      <c r="AU6" s="11"/>
      <c r="AV6" s="10" t="s">
        <v>23</v>
      </c>
      <c r="AW6" s="10"/>
      <c r="AX6" s="10"/>
      <c r="AY6" s="10"/>
      <c r="AZ6" s="10"/>
      <c r="BA6" s="11" t="s">
        <v>24</v>
      </c>
      <c r="BB6" s="11"/>
      <c r="BC6" s="11"/>
      <c r="BD6" s="11"/>
      <c r="BE6" s="11"/>
      <c r="BF6" s="10" t="s">
        <v>25</v>
      </c>
      <c r="BG6" s="10"/>
      <c r="BH6" s="10"/>
      <c r="BI6" s="10"/>
      <c r="BJ6" s="10"/>
      <c r="BK6" s="11" t="s">
        <v>26</v>
      </c>
      <c r="BL6" s="11"/>
      <c r="BM6" s="11"/>
      <c r="BN6" s="11"/>
      <c r="BO6" s="11"/>
      <c r="BP6" s="10" t="s">
        <v>27</v>
      </c>
      <c r="BQ6" s="10"/>
      <c r="BR6" s="10"/>
      <c r="BS6" s="10"/>
      <c r="BT6" s="10"/>
      <c r="BU6" s="11" t="s">
        <v>28</v>
      </c>
      <c r="BV6" s="11"/>
      <c r="BW6" s="11"/>
      <c r="BX6" s="11"/>
      <c r="BY6" s="11"/>
      <c r="BZ6" s="10" t="s">
        <v>29</v>
      </c>
      <c r="CA6" s="10"/>
      <c r="CB6" s="10"/>
      <c r="CC6" s="10"/>
      <c r="CD6" s="10"/>
      <c r="CE6" s="11" t="s">
        <v>30</v>
      </c>
      <c r="CF6" s="11"/>
      <c r="CG6" s="11"/>
      <c r="CH6" s="11"/>
      <c r="CI6" s="11"/>
      <c r="CJ6" s="10" t="s">
        <v>31</v>
      </c>
      <c r="CK6" s="10"/>
      <c r="CL6" s="10"/>
      <c r="CM6" s="10"/>
      <c r="CN6" s="10"/>
      <c r="CO6" s="11" t="s">
        <v>32</v>
      </c>
      <c r="CP6" s="11"/>
      <c r="CQ6" s="11"/>
      <c r="CR6" s="11"/>
      <c r="CS6" s="11"/>
      <c r="CT6" s="10" t="s">
        <v>33</v>
      </c>
      <c r="CU6" s="10"/>
      <c r="CV6" s="10"/>
      <c r="CW6" s="10"/>
      <c r="CX6" s="10"/>
      <c r="CY6" s="11" t="s">
        <v>34</v>
      </c>
      <c r="CZ6" s="11"/>
      <c r="DA6" s="11"/>
      <c r="DB6" s="11"/>
      <c r="DC6" s="11"/>
      <c r="DD6" s="10" t="s">
        <v>35</v>
      </c>
      <c r="DE6" s="10"/>
      <c r="DF6" s="10"/>
      <c r="DG6" s="10"/>
      <c r="DH6" s="10"/>
      <c r="DI6" s="11" t="s">
        <v>36</v>
      </c>
      <c r="DJ6" s="11"/>
      <c r="DK6" s="11"/>
      <c r="DL6" s="11"/>
      <c r="DM6" s="11"/>
      <c r="DN6" s="10" t="s">
        <v>37</v>
      </c>
      <c r="DO6" s="10"/>
      <c r="DP6" s="10"/>
      <c r="DQ6" s="10"/>
      <c r="DR6" s="10"/>
      <c r="DS6" s="11" t="s">
        <v>38</v>
      </c>
      <c r="DT6" s="11"/>
      <c r="DU6" s="11"/>
      <c r="DV6" s="11"/>
      <c r="DW6" s="11"/>
      <c r="DX6" s="10" t="s">
        <v>39</v>
      </c>
      <c r="DY6" s="10"/>
      <c r="DZ6" s="10"/>
      <c r="EA6" s="10"/>
      <c r="EB6" s="10"/>
      <c r="EC6" s="11" t="s">
        <v>40</v>
      </c>
      <c r="ED6" s="11"/>
      <c r="EE6" s="11"/>
      <c r="EF6" s="11"/>
      <c r="EG6" s="11"/>
      <c r="EH6" s="10" t="s">
        <v>41</v>
      </c>
      <c r="EI6" s="10"/>
      <c r="EJ6" s="10"/>
      <c r="EK6" s="10"/>
      <c r="EL6" s="10"/>
      <c r="EM6" s="11" t="s">
        <v>42</v>
      </c>
      <c r="EN6" s="11"/>
      <c r="EO6" s="11"/>
      <c r="EP6" s="11"/>
      <c r="EQ6" s="11"/>
      <c r="ER6" s="10" t="s">
        <v>43</v>
      </c>
      <c r="ES6" s="10"/>
      <c r="ET6" s="10"/>
      <c r="EU6" s="10"/>
      <c r="EV6" s="10"/>
      <c r="EW6" s="11" t="s">
        <v>44</v>
      </c>
      <c r="EX6" s="11"/>
      <c r="EY6" s="11"/>
      <c r="EZ6" s="12" t="s">
        <v>45</v>
      </c>
    </row>
    <row r="7" customFormat="false" ht="9" hidden="false" customHeight="true" outlineLevel="0" collapsed="false">
      <c r="J7" s="13" t="n">
        <v>570</v>
      </c>
      <c r="K7" s="13" t="n">
        <v>580</v>
      </c>
      <c r="L7" s="13" t="n">
        <v>590</v>
      </c>
      <c r="M7" s="13" t="n">
        <v>600</v>
      </c>
      <c r="N7" s="13" t="n">
        <v>610</v>
      </c>
      <c r="O7" s="13" t="n">
        <v>620</v>
      </c>
      <c r="P7" s="13" t="n">
        <v>630</v>
      </c>
      <c r="Q7" s="13" t="n">
        <v>640</v>
      </c>
      <c r="R7" s="13" t="n">
        <v>650</v>
      </c>
      <c r="S7" s="13" t="n">
        <v>660</v>
      </c>
      <c r="T7" s="13" t="n">
        <v>670</v>
      </c>
      <c r="U7" s="13" t="n">
        <v>680</v>
      </c>
      <c r="V7" s="13" t="n">
        <v>690</v>
      </c>
      <c r="W7" s="13" t="n">
        <v>700</v>
      </c>
      <c r="X7" s="13" t="n">
        <v>710</v>
      </c>
      <c r="Y7" s="13" t="n">
        <v>720</v>
      </c>
      <c r="Z7" s="13" t="n">
        <v>730</v>
      </c>
      <c r="AA7" s="13" t="n">
        <v>740</v>
      </c>
      <c r="AB7" s="13" t="n">
        <v>750</v>
      </c>
      <c r="AC7" s="13" t="n">
        <v>760</v>
      </c>
      <c r="AD7" s="13" t="n">
        <v>770</v>
      </c>
      <c r="AE7" s="13" t="n">
        <v>780</v>
      </c>
      <c r="AF7" s="13" t="n">
        <v>790</v>
      </c>
      <c r="AG7" s="13" t="n">
        <v>800</v>
      </c>
      <c r="AH7" s="13" t="n">
        <v>810</v>
      </c>
      <c r="AI7" s="13" t="n">
        <v>820</v>
      </c>
      <c r="AJ7" s="13" t="n">
        <v>830</v>
      </c>
      <c r="AK7" s="13" t="n">
        <v>840</v>
      </c>
      <c r="AL7" s="13" t="n">
        <v>850</v>
      </c>
      <c r="AM7" s="13" t="n">
        <v>860</v>
      </c>
      <c r="AN7" s="13" t="n">
        <v>870</v>
      </c>
      <c r="AO7" s="13" t="n">
        <v>880</v>
      </c>
      <c r="AP7" s="13" t="n">
        <v>890</v>
      </c>
      <c r="AQ7" s="13" t="n">
        <v>900</v>
      </c>
      <c r="AR7" s="13" t="n">
        <v>910</v>
      </c>
      <c r="AS7" s="13" t="n">
        <v>920</v>
      </c>
      <c r="AT7" s="13" t="n">
        <v>930</v>
      </c>
      <c r="AU7" s="13" t="n">
        <v>940</v>
      </c>
      <c r="AV7" s="13" t="n">
        <v>950</v>
      </c>
      <c r="AW7" s="13" t="n">
        <v>960</v>
      </c>
      <c r="AX7" s="13" t="n">
        <v>970</v>
      </c>
      <c r="AY7" s="13" t="n">
        <v>980</v>
      </c>
      <c r="AZ7" s="13" t="n">
        <v>990</v>
      </c>
      <c r="BA7" s="13" t="n">
        <v>1000</v>
      </c>
      <c r="BB7" s="13" t="n">
        <v>1010</v>
      </c>
      <c r="BC7" s="13" t="n">
        <v>1020</v>
      </c>
      <c r="BD7" s="13" t="n">
        <v>1030</v>
      </c>
      <c r="BE7" s="13" t="n">
        <v>1040</v>
      </c>
      <c r="BF7" s="13" t="n">
        <v>1050</v>
      </c>
      <c r="BG7" s="13" t="n">
        <v>1060</v>
      </c>
      <c r="BH7" s="13" t="n">
        <v>1070</v>
      </c>
      <c r="BI7" s="13" t="n">
        <v>1080</v>
      </c>
      <c r="BJ7" s="13" t="n">
        <v>1090</v>
      </c>
      <c r="BK7" s="13" t="n">
        <v>1100</v>
      </c>
      <c r="BL7" s="13" t="n">
        <v>1110</v>
      </c>
      <c r="BM7" s="13" t="n">
        <v>1120</v>
      </c>
      <c r="BN7" s="13" t="n">
        <v>1130</v>
      </c>
      <c r="BO7" s="13" t="n">
        <v>1140</v>
      </c>
      <c r="BP7" s="13" t="n">
        <v>1150</v>
      </c>
      <c r="BQ7" s="13" t="n">
        <v>1160</v>
      </c>
      <c r="BR7" s="13" t="n">
        <v>1170</v>
      </c>
      <c r="BS7" s="13" t="n">
        <v>1180</v>
      </c>
      <c r="BT7" s="13" t="n">
        <v>1190</v>
      </c>
      <c r="BU7" s="13" t="n">
        <v>1200</v>
      </c>
      <c r="BV7" s="13" t="n">
        <v>1210</v>
      </c>
      <c r="BW7" s="13" t="n">
        <v>1220</v>
      </c>
      <c r="BX7" s="13" t="n">
        <v>1230</v>
      </c>
      <c r="BY7" s="13" t="n">
        <v>1240</v>
      </c>
      <c r="BZ7" s="13" t="n">
        <v>1250</v>
      </c>
      <c r="CA7" s="13" t="n">
        <v>1260</v>
      </c>
      <c r="CB7" s="13" t="n">
        <v>1270</v>
      </c>
      <c r="CC7" s="13" t="n">
        <v>1280</v>
      </c>
      <c r="CD7" s="13" t="n">
        <v>1290</v>
      </c>
      <c r="CE7" s="13" t="n">
        <v>1300</v>
      </c>
      <c r="CF7" s="13" t="n">
        <v>1310</v>
      </c>
      <c r="CG7" s="13" t="n">
        <v>1320</v>
      </c>
      <c r="CH7" s="13" t="n">
        <v>1330</v>
      </c>
      <c r="CI7" s="13" t="n">
        <v>1340</v>
      </c>
      <c r="CJ7" s="13" t="n">
        <v>1350</v>
      </c>
      <c r="CK7" s="13" t="n">
        <v>1360</v>
      </c>
      <c r="CL7" s="13" t="n">
        <v>1370</v>
      </c>
      <c r="CM7" s="13" t="n">
        <v>1380</v>
      </c>
      <c r="CN7" s="13" t="n">
        <v>1390</v>
      </c>
      <c r="CO7" s="13" t="n">
        <v>1400</v>
      </c>
      <c r="CP7" s="13" t="n">
        <v>1410</v>
      </c>
      <c r="CQ7" s="13" t="n">
        <v>1420</v>
      </c>
      <c r="CR7" s="13" t="n">
        <v>1430</v>
      </c>
      <c r="CS7" s="13" t="n">
        <v>1440</v>
      </c>
      <c r="CT7" s="13" t="n">
        <v>1450</v>
      </c>
      <c r="CU7" s="13" t="n">
        <v>1460</v>
      </c>
      <c r="CV7" s="13" t="n">
        <v>1470</v>
      </c>
      <c r="CW7" s="13" t="n">
        <v>1480</v>
      </c>
      <c r="CX7" s="13" t="n">
        <v>1490</v>
      </c>
      <c r="CY7" s="13" t="n">
        <v>1500</v>
      </c>
      <c r="CZ7" s="13" t="n">
        <v>1510</v>
      </c>
      <c r="DA7" s="13" t="n">
        <v>1520</v>
      </c>
      <c r="DB7" s="13" t="n">
        <v>1530</v>
      </c>
      <c r="DC7" s="13" t="n">
        <v>1540</v>
      </c>
      <c r="DD7" s="13" t="n">
        <v>1550</v>
      </c>
      <c r="DE7" s="13" t="n">
        <v>1560</v>
      </c>
      <c r="DF7" s="13" t="n">
        <v>1570</v>
      </c>
      <c r="DG7" s="13" t="n">
        <v>1580</v>
      </c>
      <c r="DH7" s="13" t="n">
        <v>1590</v>
      </c>
      <c r="DI7" s="13" t="n">
        <v>1600</v>
      </c>
      <c r="DJ7" s="13" t="n">
        <v>1610</v>
      </c>
      <c r="DK7" s="13" t="n">
        <v>1620</v>
      </c>
      <c r="DL7" s="13" t="n">
        <v>1630</v>
      </c>
      <c r="DM7" s="13" t="n">
        <v>1640</v>
      </c>
      <c r="DN7" s="13" t="n">
        <v>1650</v>
      </c>
      <c r="DO7" s="13" t="n">
        <v>1660</v>
      </c>
      <c r="DP7" s="13" t="n">
        <v>1670</v>
      </c>
      <c r="DQ7" s="13" t="n">
        <v>1680</v>
      </c>
      <c r="DR7" s="13" t="n">
        <v>1690</v>
      </c>
      <c r="DS7" s="13" t="n">
        <v>1700</v>
      </c>
      <c r="DT7" s="13" t="n">
        <v>1710</v>
      </c>
      <c r="DU7" s="13" t="n">
        <v>1720</v>
      </c>
      <c r="DV7" s="13" t="n">
        <v>1730</v>
      </c>
      <c r="DW7" s="13" t="n">
        <v>1740</v>
      </c>
      <c r="DX7" s="13" t="n">
        <v>1750</v>
      </c>
      <c r="DY7" s="13" t="n">
        <v>1760</v>
      </c>
      <c r="DZ7" s="13" t="n">
        <v>1770</v>
      </c>
      <c r="EA7" s="13" t="n">
        <v>1780</v>
      </c>
      <c r="EB7" s="13" t="n">
        <v>1790</v>
      </c>
      <c r="EC7" s="13" t="n">
        <v>1800</v>
      </c>
      <c r="ED7" s="13" t="n">
        <v>1810</v>
      </c>
      <c r="EE7" s="13" t="n">
        <v>1820</v>
      </c>
      <c r="EF7" s="13" t="n">
        <v>1830</v>
      </c>
      <c r="EG7" s="13" t="n">
        <v>1840</v>
      </c>
      <c r="EH7" s="13" t="n">
        <v>1850</v>
      </c>
      <c r="EI7" s="13" t="n">
        <v>1860</v>
      </c>
      <c r="EJ7" s="13" t="n">
        <v>1870</v>
      </c>
      <c r="EK7" s="13" t="n">
        <v>1880</v>
      </c>
      <c r="EL7" s="13" t="n">
        <v>1890</v>
      </c>
      <c r="EM7" s="13" t="n">
        <v>1900</v>
      </c>
      <c r="EN7" s="13" t="n">
        <v>1910</v>
      </c>
      <c r="EO7" s="13" t="n">
        <v>1920</v>
      </c>
      <c r="EP7" s="13" t="n">
        <v>1930</v>
      </c>
      <c r="EQ7" s="13" t="n">
        <v>1940</v>
      </c>
      <c r="ER7" s="13" t="n">
        <v>1950</v>
      </c>
      <c r="ES7" s="13" t="n">
        <v>1960</v>
      </c>
      <c r="ET7" s="13" t="n">
        <v>1970</v>
      </c>
      <c r="EU7" s="13" t="n">
        <v>1980</v>
      </c>
      <c r="EV7" s="13" t="n">
        <v>1990</v>
      </c>
      <c r="EW7" s="13" t="n">
        <v>2000</v>
      </c>
      <c r="EX7" s="13" t="n">
        <v>2010</v>
      </c>
      <c r="EY7" s="13" t="n">
        <v>2020</v>
      </c>
    </row>
    <row r="8" customFormat="false" ht="27.75" hidden="false" customHeight="true" outlineLevel="0" collapsed="false">
      <c r="A8" s="14" t="s">
        <v>46</v>
      </c>
      <c r="B8" s="14" t="s">
        <v>47</v>
      </c>
      <c r="C8" s="14" t="s">
        <v>48</v>
      </c>
      <c r="D8" s="14" t="s">
        <v>49</v>
      </c>
      <c r="E8" s="14" t="s">
        <v>50</v>
      </c>
      <c r="F8" s="14" t="s">
        <v>51</v>
      </c>
      <c r="G8" s="14" t="s">
        <v>52</v>
      </c>
      <c r="H8" s="14" t="s">
        <v>53</v>
      </c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</row>
    <row r="9" customFormat="false" ht="21.75" hidden="false" customHeight="true" outlineLevel="0" collapsed="false">
      <c r="A9" s="15" t="s">
        <v>54</v>
      </c>
      <c r="B9" s="16" t="s">
        <v>55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7"/>
      <c r="O9" s="17"/>
      <c r="P9" s="17"/>
      <c r="Q9" s="17"/>
      <c r="R9" s="17"/>
      <c r="S9" s="17"/>
      <c r="T9" s="17"/>
      <c r="U9" s="17"/>
      <c r="V9" s="17"/>
      <c r="W9" s="18"/>
      <c r="X9" s="17"/>
      <c r="Y9" s="17"/>
      <c r="Z9" s="17"/>
      <c r="AA9" s="17"/>
      <c r="AB9" s="17"/>
      <c r="AC9" s="17"/>
      <c r="AD9" s="17"/>
      <c r="AE9" s="17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18"/>
      <c r="AR9" s="17"/>
      <c r="AS9" s="17"/>
      <c r="AT9" s="17"/>
      <c r="AU9" s="17"/>
      <c r="AV9" s="17"/>
      <c r="AW9" s="17"/>
      <c r="AX9" s="17"/>
      <c r="AY9" s="17"/>
      <c r="AZ9" s="17"/>
      <c r="BA9" s="18"/>
      <c r="BB9" s="17"/>
      <c r="BC9" s="17"/>
      <c r="BD9" s="17"/>
      <c r="BE9" s="17"/>
      <c r="BF9" s="17"/>
      <c r="BG9" s="17"/>
      <c r="BH9" s="17"/>
      <c r="BI9" s="17"/>
      <c r="BJ9" s="17"/>
      <c r="BK9" s="18"/>
      <c r="BL9" s="17"/>
      <c r="BM9" s="17"/>
      <c r="BN9" s="17"/>
      <c r="BO9" s="17"/>
      <c r="BP9" s="17"/>
      <c r="BQ9" s="17"/>
      <c r="BR9" s="17"/>
      <c r="BS9" s="17"/>
      <c r="BT9" s="17"/>
      <c r="BU9" s="18"/>
      <c r="BV9" s="17"/>
      <c r="BW9" s="17"/>
      <c r="BX9" s="17"/>
      <c r="BY9" s="17"/>
      <c r="BZ9" s="17"/>
      <c r="CA9" s="17"/>
      <c r="CB9" s="17"/>
      <c r="CC9" s="17"/>
      <c r="CD9" s="17"/>
      <c r="CE9" s="18"/>
      <c r="CF9" s="17"/>
      <c r="CG9" s="17"/>
      <c r="CH9" s="17"/>
      <c r="CI9" s="17"/>
      <c r="CJ9" s="17"/>
      <c r="CK9" s="17"/>
      <c r="CL9" s="17"/>
      <c r="CM9" s="17"/>
      <c r="CN9" s="17"/>
      <c r="CO9" s="18"/>
      <c r="CP9" s="17"/>
      <c r="CQ9" s="17"/>
      <c r="CR9" s="17"/>
      <c r="CS9" s="17"/>
      <c r="CT9" s="17"/>
      <c r="CU9" s="17"/>
      <c r="CV9" s="17"/>
      <c r="CW9" s="17"/>
      <c r="CX9" s="17"/>
      <c r="CY9" s="18"/>
      <c r="CZ9" s="17"/>
      <c r="DA9" s="17"/>
      <c r="DB9" s="17"/>
      <c r="DC9" s="17"/>
      <c r="DD9" s="17"/>
      <c r="DE9" s="17"/>
      <c r="DF9" s="17"/>
      <c r="DG9" s="17"/>
      <c r="DH9" s="17"/>
      <c r="DI9" s="18"/>
      <c r="DJ9" s="17"/>
      <c r="DK9" s="17"/>
      <c r="DL9" s="17"/>
      <c r="DM9" s="17"/>
      <c r="DN9" s="17"/>
      <c r="DO9" s="17"/>
      <c r="DP9" s="17"/>
      <c r="DQ9" s="17"/>
      <c r="DR9" s="17"/>
      <c r="DS9" s="18"/>
      <c r="DT9" s="17"/>
      <c r="DU9" s="17"/>
      <c r="DV9" s="17"/>
      <c r="DW9" s="17"/>
      <c r="DX9" s="17"/>
      <c r="DY9" s="17"/>
      <c r="DZ9" s="17"/>
      <c r="EA9" s="17"/>
      <c r="EB9" s="17"/>
      <c r="EC9" s="18"/>
      <c r="ED9" s="17"/>
      <c r="EE9" s="17"/>
      <c r="EF9" s="17"/>
      <c r="EG9" s="17"/>
      <c r="EH9" s="17"/>
      <c r="EI9" s="17"/>
      <c r="EJ9" s="17"/>
      <c r="EK9" s="17"/>
      <c r="EL9" s="17"/>
      <c r="EM9" s="18"/>
      <c r="EN9" s="17"/>
      <c r="EO9" s="17"/>
      <c r="EP9" s="17"/>
      <c r="EQ9" s="17"/>
      <c r="ER9" s="17"/>
      <c r="ES9" s="17"/>
      <c r="ET9" s="17"/>
      <c r="EU9" s="17"/>
      <c r="EV9" s="17"/>
      <c r="EW9" s="18"/>
      <c r="EX9" s="17"/>
      <c r="EY9" s="17"/>
      <c r="EZ9" s="17"/>
    </row>
    <row r="10" customFormat="false" ht="12.75" hidden="false" customHeight="true" outlineLevel="0" collapsed="false">
      <c r="A10" s="19" t="s">
        <v>56</v>
      </c>
      <c r="B10" s="20" t="s">
        <v>57</v>
      </c>
      <c r="C10" s="21" t="n">
        <v>570</v>
      </c>
      <c r="D10" s="21" t="n">
        <v>570</v>
      </c>
      <c r="E10" s="22" t="str">
        <f aca="false">IF(C10=D10,"событие",IF(D10&gt;=2026,IF(A10="Личности","жив","существует"),"в прошлом"))</f>
        <v>событие</v>
      </c>
      <c r="F10" s="23" t="str">
        <f aca="false">IF(C10=D10,"",D10-C10)</f>
        <v/>
      </c>
      <c r="G10" s="23"/>
      <c r="H10" s="19" t="s">
        <v>58</v>
      </c>
      <c r="I10" s="24"/>
      <c r="M10" s="25"/>
      <c r="W10" s="25"/>
      <c r="AG10" s="25"/>
      <c r="AQ10" s="25"/>
      <c r="BA10" s="25"/>
      <c r="BK10" s="25"/>
      <c r="BU10" s="25"/>
      <c r="CE10" s="25"/>
      <c r="CO10" s="25"/>
      <c r="CY10" s="25"/>
      <c r="DI10" s="25"/>
      <c r="DS10" s="25"/>
      <c r="EC10" s="25"/>
      <c r="EM10" s="25"/>
      <c r="EW10" s="25"/>
      <c r="EZ10" s="26" t="str">
        <f aca="false">IF(AND(D10&gt;=2026,C10&lt;D10),"▶","")</f>
        <v/>
      </c>
    </row>
    <row r="11" customFormat="false" ht="12.75" hidden="false" customHeight="true" outlineLevel="0" collapsed="false">
      <c r="A11" s="19" t="s">
        <v>56</v>
      </c>
      <c r="B11" s="20" t="s">
        <v>59</v>
      </c>
      <c r="C11" s="21" t="n">
        <v>610</v>
      </c>
      <c r="D11" s="21" t="n">
        <v>610</v>
      </c>
      <c r="E11" s="22" t="str">
        <f aca="false">IF(C11=D11,"событие",IF(D11&gt;=2026,IF(A11="Личности","жив","существует"),"в прошлом"))</f>
        <v>событие</v>
      </c>
      <c r="F11" s="23" t="str">
        <f aca="false">IF(C11=D11,"",D11-C11)</f>
        <v/>
      </c>
      <c r="G11" s="23"/>
      <c r="H11" s="19" t="s">
        <v>58</v>
      </c>
      <c r="I11" s="24"/>
      <c r="M11" s="25"/>
      <c r="W11" s="25"/>
      <c r="AG11" s="25"/>
      <c r="AQ11" s="25"/>
      <c r="BA11" s="25"/>
      <c r="BK11" s="25"/>
      <c r="BU11" s="25"/>
      <c r="CE11" s="25"/>
      <c r="CO11" s="25"/>
      <c r="CY11" s="25"/>
      <c r="DI11" s="25"/>
      <c r="DS11" s="25"/>
      <c r="EC11" s="25"/>
      <c r="EM11" s="25"/>
      <c r="EW11" s="25"/>
      <c r="EZ11" s="26" t="str">
        <f aca="false">IF(AND(D11&gt;=2026,C11&lt;D11),"▶","")</f>
        <v/>
      </c>
    </row>
    <row r="12" customFormat="false" ht="12.75" hidden="false" customHeight="true" outlineLevel="0" collapsed="false">
      <c r="A12" s="19" t="s">
        <v>56</v>
      </c>
      <c r="B12" s="20" t="s">
        <v>60</v>
      </c>
      <c r="C12" s="21" t="n">
        <v>622</v>
      </c>
      <c r="D12" s="21" t="n">
        <v>622</v>
      </c>
      <c r="E12" s="22" t="str">
        <f aca="false">IF(C12=D12,"событие",IF(D12&gt;=2026,IF(A12="Личности","жив","существует"),"в прошлом"))</f>
        <v>событие</v>
      </c>
      <c r="F12" s="23" t="str">
        <f aca="false">IF(C12=D12,"",D12-C12)</f>
        <v/>
      </c>
      <c r="G12" s="23"/>
      <c r="H12" s="19" t="s">
        <v>58</v>
      </c>
      <c r="I12" s="24"/>
      <c r="M12" s="25"/>
      <c r="W12" s="25"/>
      <c r="AG12" s="25"/>
      <c r="AQ12" s="25"/>
      <c r="BA12" s="25"/>
      <c r="BK12" s="25"/>
      <c r="BU12" s="25"/>
      <c r="CE12" s="25"/>
      <c r="CO12" s="25"/>
      <c r="CY12" s="25"/>
      <c r="DI12" s="25"/>
      <c r="DS12" s="25"/>
      <c r="EC12" s="25"/>
      <c r="EM12" s="25"/>
      <c r="EW12" s="25"/>
      <c r="EZ12" s="26" t="str">
        <f aca="false">IF(AND(D12&gt;=2026,C12&lt;D12),"▶","")</f>
        <v/>
      </c>
    </row>
    <row r="13" customFormat="false" ht="12.75" hidden="false" customHeight="true" outlineLevel="0" collapsed="false">
      <c r="A13" s="19" t="s">
        <v>56</v>
      </c>
      <c r="B13" s="27" t="s">
        <v>61</v>
      </c>
      <c r="C13" s="21" t="n">
        <v>624</v>
      </c>
      <c r="D13" s="21" t="n">
        <v>624</v>
      </c>
      <c r="E13" s="22" t="str">
        <f aca="false">IF(C13=D13,"событие",IF(D13&gt;=2026,IF(A13="Личности","жив","существует"),"в прошлом"))</f>
        <v>событие</v>
      </c>
      <c r="F13" s="23" t="str">
        <f aca="false">IF(C13=D13,"",D13-C13)</f>
        <v/>
      </c>
      <c r="G13" s="23"/>
      <c r="H13" s="19" t="s">
        <v>62</v>
      </c>
      <c r="I13" s="24"/>
      <c r="M13" s="25"/>
      <c r="W13" s="25"/>
      <c r="AG13" s="25"/>
      <c r="AQ13" s="25"/>
      <c r="BA13" s="25"/>
      <c r="BK13" s="25"/>
      <c r="BU13" s="25"/>
      <c r="CE13" s="25"/>
      <c r="CO13" s="25"/>
      <c r="CY13" s="25"/>
      <c r="DI13" s="25"/>
      <c r="DS13" s="25"/>
      <c r="EC13" s="25"/>
      <c r="EM13" s="25"/>
      <c r="EW13" s="25"/>
      <c r="EZ13" s="12" t="str">
        <f aca="false">IF(AND(D13&gt;=2026,C13&lt;D13),"▶","")</f>
        <v/>
      </c>
    </row>
    <row r="14" customFormat="false" ht="12.75" hidden="false" customHeight="true" outlineLevel="0" collapsed="false">
      <c r="A14" s="19" t="s">
        <v>56</v>
      </c>
      <c r="B14" s="27" t="s">
        <v>63</v>
      </c>
      <c r="C14" s="21" t="n">
        <v>630</v>
      </c>
      <c r="D14" s="21" t="n">
        <v>630</v>
      </c>
      <c r="E14" s="22" t="str">
        <f aca="false">IF(C14=D14,"событие",IF(D14&gt;=2026,IF(A14="Личности","жив","существует"),"в прошлом"))</f>
        <v>событие</v>
      </c>
      <c r="F14" s="23" t="str">
        <f aca="false">IF(C14=D14,"",D14-C14)</f>
        <v/>
      </c>
      <c r="G14" s="23"/>
      <c r="H14" s="19" t="s">
        <v>62</v>
      </c>
      <c r="I14" s="24"/>
      <c r="M14" s="25"/>
      <c r="W14" s="25"/>
      <c r="AG14" s="25"/>
      <c r="AQ14" s="25"/>
      <c r="BA14" s="25"/>
      <c r="BK14" s="25"/>
      <c r="BU14" s="25"/>
      <c r="CE14" s="25"/>
      <c r="CO14" s="25"/>
      <c r="CY14" s="25"/>
      <c r="DI14" s="25"/>
      <c r="DS14" s="25"/>
      <c r="EC14" s="25"/>
      <c r="EM14" s="25"/>
      <c r="EW14" s="25"/>
      <c r="EZ14" s="12" t="str">
        <f aca="false">IF(AND(D14&gt;=2026,C14&lt;D14),"▶","")</f>
        <v/>
      </c>
    </row>
    <row r="15" customFormat="false" ht="12.75" hidden="false" customHeight="true" outlineLevel="0" collapsed="false">
      <c r="A15" s="19" t="s">
        <v>56</v>
      </c>
      <c r="B15" s="20" t="s">
        <v>64</v>
      </c>
      <c r="C15" s="21" t="n">
        <v>632</v>
      </c>
      <c r="D15" s="21" t="n">
        <v>632</v>
      </c>
      <c r="E15" s="22" t="str">
        <f aca="false">IF(C15=D15,"событие",IF(D15&gt;=2026,IF(A15="Личности","жив","существует"),"в прошлом"))</f>
        <v>событие</v>
      </c>
      <c r="F15" s="23" t="str">
        <f aca="false">IF(C15=D15,"",D15-C15)</f>
        <v/>
      </c>
      <c r="G15" s="23"/>
      <c r="H15" s="19" t="s">
        <v>58</v>
      </c>
      <c r="I15" s="24"/>
      <c r="M15" s="25"/>
      <c r="W15" s="25"/>
      <c r="AG15" s="25"/>
      <c r="AQ15" s="25"/>
      <c r="BA15" s="25"/>
      <c r="BK15" s="25"/>
      <c r="BU15" s="25"/>
      <c r="CE15" s="25"/>
      <c r="CO15" s="25"/>
      <c r="CY15" s="25"/>
      <c r="DI15" s="25"/>
      <c r="DS15" s="25"/>
      <c r="EC15" s="25"/>
      <c r="EM15" s="25"/>
      <c r="EW15" s="25"/>
      <c r="EZ15" s="26" t="str">
        <f aca="false">IF(AND(D15&gt;=2026,C15&lt;D15),"▶","")</f>
        <v/>
      </c>
    </row>
    <row r="16" customFormat="false" ht="12.75" hidden="false" customHeight="true" outlineLevel="0" collapsed="false">
      <c r="A16" s="19" t="s">
        <v>56</v>
      </c>
      <c r="B16" s="27" t="s">
        <v>65</v>
      </c>
      <c r="C16" s="21" t="n">
        <v>636</v>
      </c>
      <c r="D16" s="21" t="n">
        <v>636</v>
      </c>
      <c r="E16" s="22" t="str">
        <f aca="false">IF(C16=D16,"событие",IF(D16&gt;=2026,IF(A16="Личности","жив","существует"),"в прошлом"))</f>
        <v>событие</v>
      </c>
      <c r="F16" s="23" t="str">
        <f aca="false">IF(C16=D16,"",D16-C16)</f>
        <v/>
      </c>
      <c r="G16" s="23"/>
      <c r="H16" s="19" t="s">
        <v>62</v>
      </c>
      <c r="I16" s="24"/>
      <c r="M16" s="25"/>
      <c r="W16" s="25"/>
      <c r="AG16" s="25"/>
      <c r="AQ16" s="25"/>
      <c r="BA16" s="25"/>
      <c r="BK16" s="25"/>
      <c r="BU16" s="25"/>
      <c r="CE16" s="25"/>
      <c r="CO16" s="25"/>
      <c r="CY16" s="25"/>
      <c r="DI16" s="25"/>
      <c r="DS16" s="25"/>
      <c r="EC16" s="25"/>
      <c r="EM16" s="25"/>
      <c r="EW16" s="25"/>
      <c r="EZ16" s="12" t="str">
        <f aca="false">IF(AND(D16&gt;=2026,C16&lt;D16),"▶","")</f>
        <v/>
      </c>
    </row>
    <row r="17" customFormat="false" ht="12.75" hidden="false" customHeight="true" outlineLevel="0" collapsed="false">
      <c r="A17" s="19" t="s">
        <v>56</v>
      </c>
      <c r="B17" s="27" t="s">
        <v>66</v>
      </c>
      <c r="C17" s="21" t="n">
        <v>637</v>
      </c>
      <c r="D17" s="21" t="n">
        <v>637</v>
      </c>
      <c r="E17" s="22" t="str">
        <f aca="false">IF(C17=D17,"событие",IF(D17&gt;=2026,IF(A17="Личности","жив","существует"),"в прошлом"))</f>
        <v>событие</v>
      </c>
      <c r="F17" s="23" t="str">
        <f aca="false">IF(C17=D17,"",D17-C17)</f>
        <v/>
      </c>
      <c r="G17" s="23"/>
      <c r="H17" s="19" t="s">
        <v>62</v>
      </c>
      <c r="I17" s="24"/>
      <c r="M17" s="25"/>
      <c r="W17" s="25"/>
      <c r="AG17" s="25"/>
      <c r="AQ17" s="25"/>
      <c r="BA17" s="25"/>
      <c r="BK17" s="25"/>
      <c r="BU17" s="25"/>
      <c r="CE17" s="25"/>
      <c r="CO17" s="25"/>
      <c r="CY17" s="25"/>
      <c r="DI17" s="25"/>
      <c r="DS17" s="25"/>
      <c r="EC17" s="25"/>
      <c r="EM17" s="25"/>
      <c r="EW17" s="25"/>
      <c r="EZ17" s="12" t="str">
        <f aca="false">IF(AND(D17&gt;=2026,C17&lt;D17),"▶","")</f>
        <v/>
      </c>
    </row>
    <row r="18" customFormat="false" ht="12.75" hidden="false" customHeight="true" outlineLevel="0" collapsed="false">
      <c r="A18" s="19" t="s">
        <v>56</v>
      </c>
      <c r="B18" s="27" t="s">
        <v>67</v>
      </c>
      <c r="C18" s="21" t="n">
        <v>650</v>
      </c>
      <c r="D18" s="21" t="n">
        <v>650</v>
      </c>
      <c r="E18" s="22" t="str">
        <f aca="false">IF(C18=D18,"событие",IF(D18&gt;=2026,IF(A18="Личности","жив","существует"),"в прошлом"))</f>
        <v>событие</v>
      </c>
      <c r="F18" s="23" t="str">
        <f aca="false">IF(C18=D18,"",D18-C18)</f>
        <v/>
      </c>
      <c r="G18" s="23"/>
      <c r="H18" s="19" t="s">
        <v>62</v>
      </c>
      <c r="I18" s="24"/>
      <c r="M18" s="25"/>
      <c r="W18" s="25"/>
      <c r="AG18" s="25"/>
      <c r="AQ18" s="25"/>
      <c r="BA18" s="25"/>
      <c r="BK18" s="25"/>
      <c r="BU18" s="25"/>
      <c r="CE18" s="25"/>
      <c r="CO18" s="25"/>
      <c r="CY18" s="25"/>
      <c r="DI18" s="25"/>
      <c r="DS18" s="25"/>
      <c r="EC18" s="25"/>
      <c r="EM18" s="25"/>
      <c r="EW18" s="25"/>
      <c r="EZ18" s="12" t="str">
        <f aca="false">IF(AND(D18&gt;=2026,C18&lt;D18),"▶","")</f>
        <v/>
      </c>
    </row>
    <row r="19" customFormat="false" ht="12.75" hidden="false" customHeight="true" outlineLevel="0" collapsed="false">
      <c r="A19" s="19" t="s">
        <v>56</v>
      </c>
      <c r="B19" s="27" t="s">
        <v>68</v>
      </c>
      <c r="C19" s="21" t="n">
        <v>656</v>
      </c>
      <c r="D19" s="21" t="n">
        <v>656</v>
      </c>
      <c r="E19" s="22" t="str">
        <f aca="false">IF(C19=D19,"событие",IF(D19&gt;=2026,IF(A19="Личности","жив","существует"),"в прошлом"))</f>
        <v>событие</v>
      </c>
      <c r="F19" s="23" t="str">
        <f aca="false">IF(C19=D19,"",D19-C19)</f>
        <v/>
      </c>
      <c r="G19" s="23"/>
      <c r="H19" s="19" t="s">
        <v>62</v>
      </c>
      <c r="I19" s="24"/>
      <c r="M19" s="25"/>
      <c r="W19" s="25"/>
      <c r="AG19" s="25"/>
      <c r="AQ19" s="25"/>
      <c r="BA19" s="25"/>
      <c r="BK19" s="25"/>
      <c r="BU19" s="25"/>
      <c r="CE19" s="25"/>
      <c r="CO19" s="25"/>
      <c r="CY19" s="25"/>
      <c r="DI19" s="25"/>
      <c r="DS19" s="25"/>
      <c r="EC19" s="25"/>
      <c r="EM19" s="25"/>
      <c r="EW19" s="25"/>
      <c r="EZ19" s="12" t="str">
        <f aca="false">IF(AND(D19&gt;=2026,C19&lt;D19),"▶","")</f>
        <v/>
      </c>
    </row>
    <row r="20" customFormat="false" ht="12.75" hidden="false" customHeight="true" outlineLevel="0" collapsed="false">
      <c r="A20" s="19" t="s">
        <v>56</v>
      </c>
      <c r="B20" s="20" t="s">
        <v>69</v>
      </c>
      <c r="C20" s="21" t="n">
        <v>657</v>
      </c>
      <c r="D20" s="21" t="n">
        <v>657</v>
      </c>
      <c r="E20" s="22" t="str">
        <f aca="false">IF(C20=D20,"событие",IF(D20&gt;=2026,IF(A20="Личности","жив","существует"),"в прошлом"))</f>
        <v>событие</v>
      </c>
      <c r="F20" s="23" t="str">
        <f aca="false">IF(C20=D20,"",D20-C20)</f>
        <v/>
      </c>
      <c r="G20" s="23"/>
      <c r="H20" s="19" t="s">
        <v>58</v>
      </c>
      <c r="I20" s="24"/>
      <c r="M20" s="25"/>
      <c r="W20" s="25"/>
      <c r="AG20" s="25"/>
      <c r="AQ20" s="25"/>
      <c r="BA20" s="25"/>
      <c r="BK20" s="25"/>
      <c r="BU20" s="25"/>
      <c r="CE20" s="25"/>
      <c r="CO20" s="25"/>
      <c r="CY20" s="25"/>
      <c r="DI20" s="25"/>
      <c r="DS20" s="25"/>
      <c r="EC20" s="25"/>
      <c r="EM20" s="25"/>
      <c r="EW20" s="25"/>
      <c r="EZ20" s="26" t="str">
        <f aca="false">IF(AND(D20&gt;=2026,C20&lt;D20),"▶","")</f>
        <v/>
      </c>
    </row>
    <row r="21" customFormat="false" ht="12.75" hidden="false" customHeight="true" outlineLevel="0" collapsed="false">
      <c r="A21" s="19" t="s">
        <v>56</v>
      </c>
      <c r="B21" s="20" t="s">
        <v>70</v>
      </c>
      <c r="C21" s="21" t="n">
        <v>661</v>
      </c>
      <c r="D21" s="21" t="n">
        <v>661</v>
      </c>
      <c r="E21" s="22" t="str">
        <f aca="false">IF(C21=D21,"событие",IF(D21&gt;=2026,IF(A21="Личности","жив","существует"),"в прошлом"))</f>
        <v>событие</v>
      </c>
      <c r="F21" s="23" t="str">
        <f aca="false">IF(C21=D21,"",D21-C21)</f>
        <v/>
      </c>
      <c r="G21" s="23"/>
      <c r="H21" s="19" t="s">
        <v>58</v>
      </c>
      <c r="I21" s="24"/>
      <c r="M21" s="25"/>
      <c r="W21" s="25"/>
      <c r="AG21" s="25"/>
      <c r="AQ21" s="25"/>
      <c r="BA21" s="25"/>
      <c r="BK21" s="25"/>
      <c r="BU21" s="25"/>
      <c r="CE21" s="25"/>
      <c r="CO21" s="25"/>
      <c r="CY21" s="25"/>
      <c r="DI21" s="25"/>
      <c r="DS21" s="25"/>
      <c r="EC21" s="25"/>
      <c r="EM21" s="25"/>
      <c r="EW21" s="25"/>
      <c r="EZ21" s="26" t="str">
        <f aca="false">IF(AND(D21&gt;=2026,C21&lt;D21),"▶","")</f>
        <v/>
      </c>
    </row>
    <row r="22" customFormat="false" ht="12.75" hidden="false" customHeight="true" outlineLevel="0" collapsed="false">
      <c r="A22" s="19" t="s">
        <v>56</v>
      </c>
      <c r="B22" s="20" t="s">
        <v>71</v>
      </c>
      <c r="C22" s="21" t="n">
        <v>680</v>
      </c>
      <c r="D22" s="21" t="n">
        <v>680</v>
      </c>
      <c r="E22" s="22" t="str">
        <f aca="false">IF(C22=D22,"событие",IF(D22&gt;=2026,IF(A22="Личности","жив","существует"),"в прошлом"))</f>
        <v>событие</v>
      </c>
      <c r="F22" s="23" t="str">
        <f aca="false">IF(C22=D22,"",D22-C22)</f>
        <v/>
      </c>
      <c r="G22" s="23"/>
      <c r="H22" s="19" t="s">
        <v>58</v>
      </c>
      <c r="I22" s="24"/>
      <c r="M22" s="25"/>
      <c r="W22" s="25"/>
      <c r="AG22" s="25"/>
      <c r="AQ22" s="25"/>
      <c r="BA22" s="25"/>
      <c r="BK22" s="25"/>
      <c r="BU22" s="25"/>
      <c r="CE22" s="25"/>
      <c r="CO22" s="25"/>
      <c r="CY22" s="25"/>
      <c r="DI22" s="25"/>
      <c r="DS22" s="25"/>
      <c r="EC22" s="25"/>
      <c r="EM22" s="25"/>
      <c r="EW22" s="25"/>
      <c r="EZ22" s="26" t="str">
        <f aca="false">IF(AND(D22&gt;=2026,C22&lt;D22),"▶","")</f>
        <v/>
      </c>
    </row>
    <row r="23" customFormat="false" ht="12.75" hidden="false" customHeight="true" outlineLevel="0" collapsed="false">
      <c r="A23" s="19" t="s">
        <v>56</v>
      </c>
      <c r="B23" s="27" t="s">
        <v>72</v>
      </c>
      <c r="C23" s="21" t="n">
        <v>691</v>
      </c>
      <c r="D23" s="21" t="n">
        <v>691</v>
      </c>
      <c r="E23" s="22" t="str">
        <f aca="false">IF(C23=D23,"событие",IF(D23&gt;=2026,IF(A23="Личности","жив","существует"),"в прошлом"))</f>
        <v>событие</v>
      </c>
      <c r="F23" s="23" t="str">
        <f aca="false">IF(C23=D23,"",D23-C23)</f>
        <v/>
      </c>
      <c r="G23" s="23"/>
      <c r="H23" s="19" t="s">
        <v>62</v>
      </c>
      <c r="I23" s="24"/>
      <c r="M23" s="25"/>
      <c r="W23" s="25"/>
      <c r="AG23" s="25"/>
      <c r="AQ23" s="25"/>
      <c r="BA23" s="25"/>
      <c r="BK23" s="25"/>
      <c r="BU23" s="25"/>
      <c r="CE23" s="25"/>
      <c r="CO23" s="25"/>
      <c r="CY23" s="25"/>
      <c r="DI23" s="25"/>
      <c r="DS23" s="25"/>
      <c r="EC23" s="25"/>
      <c r="EM23" s="25"/>
      <c r="EW23" s="25"/>
      <c r="EZ23" s="12" t="str">
        <f aca="false">IF(AND(D23&gt;=2026,C23&lt;D23),"▶","")</f>
        <v/>
      </c>
    </row>
    <row r="24" customFormat="false" ht="12.75" hidden="false" customHeight="true" outlineLevel="0" collapsed="false">
      <c r="A24" s="19" t="s">
        <v>56</v>
      </c>
      <c r="B24" s="27" t="s">
        <v>73</v>
      </c>
      <c r="C24" s="21" t="n">
        <v>711</v>
      </c>
      <c r="D24" s="21" t="n">
        <v>711</v>
      </c>
      <c r="E24" s="22" t="str">
        <f aca="false">IF(C24=D24,"событие",IF(D24&gt;=2026,IF(A24="Личности","жив","существует"),"в прошлом"))</f>
        <v>событие</v>
      </c>
      <c r="F24" s="23" t="str">
        <f aca="false">IF(C24=D24,"",D24-C24)</f>
        <v/>
      </c>
      <c r="G24" s="23"/>
      <c r="H24" s="19" t="s">
        <v>62</v>
      </c>
      <c r="I24" s="24"/>
      <c r="M24" s="25"/>
      <c r="W24" s="25"/>
      <c r="AG24" s="25"/>
      <c r="AQ24" s="25"/>
      <c r="BA24" s="25"/>
      <c r="BK24" s="25"/>
      <c r="BU24" s="25"/>
      <c r="CE24" s="25"/>
      <c r="CO24" s="25"/>
      <c r="CY24" s="25"/>
      <c r="DI24" s="25"/>
      <c r="DS24" s="25"/>
      <c r="EC24" s="25"/>
      <c r="EM24" s="25"/>
      <c r="EW24" s="25"/>
      <c r="EZ24" s="12" t="str">
        <f aca="false">IF(AND(D24&gt;=2026,C24&lt;D24),"▶","")</f>
        <v/>
      </c>
    </row>
    <row r="25" customFormat="false" ht="12.75" hidden="false" customHeight="true" outlineLevel="0" collapsed="false">
      <c r="A25" s="19" t="s">
        <v>56</v>
      </c>
      <c r="B25" s="27" t="s">
        <v>74</v>
      </c>
      <c r="C25" s="21" t="n">
        <v>732</v>
      </c>
      <c r="D25" s="21" t="n">
        <v>732</v>
      </c>
      <c r="E25" s="22" t="str">
        <f aca="false">IF(C25=D25,"событие",IF(D25&gt;=2026,IF(A25="Личности","жив","существует"),"в прошлом"))</f>
        <v>событие</v>
      </c>
      <c r="F25" s="23" t="str">
        <f aca="false">IF(C25=D25,"",D25-C25)</f>
        <v/>
      </c>
      <c r="G25" s="23"/>
      <c r="H25" s="19" t="s">
        <v>62</v>
      </c>
      <c r="I25" s="24"/>
      <c r="M25" s="25"/>
      <c r="W25" s="25"/>
      <c r="AG25" s="25"/>
      <c r="AQ25" s="25"/>
      <c r="BA25" s="25"/>
      <c r="BK25" s="25"/>
      <c r="BU25" s="25"/>
      <c r="CE25" s="25"/>
      <c r="CO25" s="25"/>
      <c r="CY25" s="25"/>
      <c r="DI25" s="25"/>
      <c r="DS25" s="25"/>
      <c r="EC25" s="25"/>
      <c r="EM25" s="25"/>
      <c r="EW25" s="25"/>
      <c r="EZ25" s="12" t="str">
        <f aca="false">IF(AND(D25&gt;=2026,C25&lt;D25),"▶","")</f>
        <v/>
      </c>
    </row>
    <row r="26" customFormat="false" ht="12.75" hidden="false" customHeight="true" outlineLevel="0" collapsed="false">
      <c r="A26" s="19" t="s">
        <v>56</v>
      </c>
      <c r="B26" s="27" t="s">
        <v>75</v>
      </c>
      <c r="C26" s="21" t="n">
        <v>740</v>
      </c>
      <c r="D26" s="21" t="n">
        <v>740</v>
      </c>
      <c r="E26" s="22" t="str">
        <f aca="false">IF(C26=D26,"событие",IF(D26&gt;=2026,IF(A26="Личности","жив","существует"),"в прошлом"))</f>
        <v>событие</v>
      </c>
      <c r="F26" s="23" t="str">
        <f aca="false">IF(C26=D26,"",D26-C26)</f>
        <v/>
      </c>
      <c r="G26" s="23"/>
      <c r="H26" s="19" t="s">
        <v>62</v>
      </c>
      <c r="I26" s="24"/>
      <c r="M26" s="25"/>
      <c r="W26" s="25"/>
      <c r="AG26" s="25"/>
      <c r="AQ26" s="25"/>
      <c r="BA26" s="25"/>
      <c r="BK26" s="25"/>
      <c r="BU26" s="25"/>
      <c r="CE26" s="25"/>
      <c r="CO26" s="25"/>
      <c r="CY26" s="25"/>
      <c r="DI26" s="25"/>
      <c r="DS26" s="25"/>
      <c r="EC26" s="25"/>
      <c r="EM26" s="25"/>
      <c r="EW26" s="25"/>
      <c r="EZ26" s="12" t="str">
        <f aca="false">IF(AND(D26&gt;=2026,C26&lt;D26),"▶","")</f>
        <v/>
      </c>
    </row>
    <row r="27" customFormat="false" ht="12.75" hidden="false" customHeight="true" outlineLevel="0" collapsed="false">
      <c r="A27" s="19" t="s">
        <v>56</v>
      </c>
      <c r="B27" s="20" t="s">
        <v>76</v>
      </c>
      <c r="C27" s="21" t="n">
        <v>750</v>
      </c>
      <c r="D27" s="21" t="n">
        <v>750</v>
      </c>
      <c r="E27" s="22" t="str">
        <f aca="false">IF(C27=D27,"событие",IF(D27&gt;=2026,IF(A27="Личности","жив","существует"),"в прошлом"))</f>
        <v>событие</v>
      </c>
      <c r="F27" s="23" t="str">
        <f aca="false">IF(C27=D27,"",D27-C27)</f>
        <v/>
      </c>
      <c r="G27" s="23"/>
      <c r="H27" s="19" t="s">
        <v>58</v>
      </c>
      <c r="I27" s="24"/>
      <c r="M27" s="25"/>
      <c r="W27" s="25"/>
      <c r="AG27" s="25"/>
      <c r="AQ27" s="25"/>
      <c r="BA27" s="25"/>
      <c r="BK27" s="25"/>
      <c r="BU27" s="25"/>
      <c r="CE27" s="25"/>
      <c r="CO27" s="25"/>
      <c r="CY27" s="25"/>
      <c r="DI27" s="25"/>
      <c r="DS27" s="25"/>
      <c r="EC27" s="25"/>
      <c r="EM27" s="25"/>
      <c r="EW27" s="25"/>
      <c r="EZ27" s="26" t="str">
        <f aca="false">IF(AND(D27&gt;=2026,C27&lt;D27),"▶","")</f>
        <v/>
      </c>
    </row>
    <row r="28" customFormat="false" ht="12.75" hidden="false" customHeight="true" outlineLevel="0" collapsed="false">
      <c r="A28" s="19" t="s">
        <v>56</v>
      </c>
      <c r="B28" s="27" t="s">
        <v>77</v>
      </c>
      <c r="C28" s="21" t="n">
        <v>751</v>
      </c>
      <c r="D28" s="21" t="n">
        <v>751</v>
      </c>
      <c r="E28" s="22" t="str">
        <f aca="false">IF(C28=D28,"событие",IF(D28&gt;=2026,IF(A28="Личности","жив","существует"),"в прошлом"))</f>
        <v>событие</v>
      </c>
      <c r="F28" s="23" t="str">
        <f aca="false">IF(C28=D28,"",D28-C28)</f>
        <v/>
      </c>
      <c r="G28" s="23"/>
      <c r="H28" s="19" t="s">
        <v>62</v>
      </c>
      <c r="I28" s="24"/>
      <c r="M28" s="25"/>
      <c r="W28" s="25"/>
      <c r="AG28" s="25"/>
      <c r="AQ28" s="25"/>
      <c r="BA28" s="25"/>
      <c r="BK28" s="25"/>
      <c r="BU28" s="25"/>
      <c r="CE28" s="25"/>
      <c r="CO28" s="25"/>
      <c r="CY28" s="25"/>
      <c r="DI28" s="25"/>
      <c r="DS28" s="25"/>
      <c r="EC28" s="25"/>
      <c r="EM28" s="25"/>
      <c r="EW28" s="25"/>
      <c r="EZ28" s="12" t="str">
        <f aca="false">IF(AND(D28&gt;=2026,C28&lt;D28),"▶","")</f>
        <v/>
      </c>
    </row>
    <row r="29" customFormat="false" ht="12.75" hidden="false" customHeight="true" outlineLevel="0" collapsed="false">
      <c r="A29" s="19" t="s">
        <v>56</v>
      </c>
      <c r="B29" s="27" t="s">
        <v>78</v>
      </c>
      <c r="C29" s="21" t="n">
        <v>762</v>
      </c>
      <c r="D29" s="21" t="n">
        <v>762</v>
      </c>
      <c r="E29" s="22" t="str">
        <f aca="false">IF(C29=D29,"событие",IF(D29&gt;=2026,IF(A29="Личности","жив","существует"),"в прошлом"))</f>
        <v>событие</v>
      </c>
      <c r="F29" s="23" t="str">
        <f aca="false">IF(C29=D29,"",D29-C29)</f>
        <v/>
      </c>
      <c r="G29" s="23"/>
      <c r="H29" s="19" t="s">
        <v>62</v>
      </c>
      <c r="I29" s="24"/>
      <c r="M29" s="25"/>
      <c r="W29" s="25"/>
      <c r="AG29" s="25"/>
      <c r="AQ29" s="25"/>
      <c r="BA29" s="25"/>
      <c r="BK29" s="25"/>
      <c r="BU29" s="25"/>
      <c r="CE29" s="25"/>
      <c r="CO29" s="25"/>
      <c r="CY29" s="25"/>
      <c r="DI29" s="25"/>
      <c r="DS29" s="25"/>
      <c r="EC29" s="25"/>
      <c r="EM29" s="25"/>
      <c r="EW29" s="25"/>
      <c r="EZ29" s="12" t="str">
        <f aca="false">IF(AND(D29&gt;=2026,C29&lt;D29),"▶","")</f>
        <v/>
      </c>
    </row>
    <row r="30" customFormat="false" ht="12.75" hidden="false" customHeight="true" outlineLevel="0" collapsed="false">
      <c r="A30" s="19" t="s">
        <v>56</v>
      </c>
      <c r="B30" s="20" t="s">
        <v>79</v>
      </c>
      <c r="C30" s="21" t="n">
        <v>765</v>
      </c>
      <c r="D30" s="21" t="n">
        <v>765</v>
      </c>
      <c r="E30" s="22" t="str">
        <f aca="false">IF(C30=D30,"событие",IF(D30&gt;=2026,IF(A30="Личности","жив","существует"),"в прошлом"))</f>
        <v>событие</v>
      </c>
      <c r="F30" s="23" t="str">
        <f aca="false">IF(C30=D30,"",D30-C30)</f>
        <v/>
      </c>
      <c r="G30" s="23"/>
      <c r="H30" s="19" t="s">
        <v>58</v>
      </c>
      <c r="I30" s="24"/>
      <c r="M30" s="25"/>
      <c r="W30" s="25"/>
      <c r="AG30" s="25"/>
      <c r="AQ30" s="25"/>
      <c r="BA30" s="25"/>
      <c r="BK30" s="25"/>
      <c r="BU30" s="25"/>
      <c r="CE30" s="25"/>
      <c r="CO30" s="25"/>
      <c r="CY30" s="25"/>
      <c r="DI30" s="25"/>
      <c r="DS30" s="25"/>
      <c r="EC30" s="25"/>
      <c r="EM30" s="25"/>
      <c r="EW30" s="25"/>
      <c r="EZ30" s="26" t="str">
        <f aca="false">IF(AND(D30&gt;=2026,C30&lt;D30),"▶","")</f>
        <v/>
      </c>
    </row>
    <row r="31" customFormat="false" ht="12.75" hidden="false" customHeight="true" outlineLevel="0" collapsed="false">
      <c r="A31" s="19" t="s">
        <v>56</v>
      </c>
      <c r="B31" s="27" t="s">
        <v>80</v>
      </c>
      <c r="C31" s="21" t="n">
        <v>833</v>
      </c>
      <c r="D31" s="21" t="n">
        <v>833</v>
      </c>
      <c r="E31" s="22" t="str">
        <f aca="false">IF(C31=D31,"событие",IF(D31&gt;=2026,IF(A31="Личности","жив","существует"),"в прошлом"))</f>
        <v>событие</v>
      </c>
      <c r="F31" s="23" t="str">
        <f aca="false">IF(C31=D31,"",D31-C31)</f>
        <v/>
      </c>
      <c r="G31" s="23"/>
      <c r="H31" s="19" t="s">
        <v>62</v>
      </c>
      <c r="I31" s="24"/>
      <c r="M31" s="25"/>
      <c r="W31" s="25"/>
      <c r="AG31" s="25"/>
      <c r="AQ31" s="25"/>
      <c r="BA31" s="25"/>
      <c r="BK31" s="25"/>
      <c r="BU31" s="25"/>
      <c r="CE31" s="25"/>
      <c r="CO31" s="25"/>
      <c r="CY31" s="25"/>
      <c r="DI31" s="25"/>
      <c r="DS31" s="25"/>
      <c r="EC31" s="25"/>
      <c r="EM31" s="25"/>
      <c r="EW31" s="25"/>
      <c r="EZ31" s="12" t="str">
        <f aca="false">IF(AND(D31&gt;=2026,C31&lt;D31),"▶","")</f>
        <v/>
      </c>
    </row>
    <row r="32" customFormat="false" ht="12.75" hidden="false" customHeight="true" outlineLevel="0" collapsed="false">
      <c r="A32" s="19" t="s">
        <v>56</v>
      </c>
      <c r="B32" s="27" t="s">
        <v>81</v>
      </c>
      <c r="C32" s="21" t="n">
        <v>870</v>
      </c>
      <c r="D32" s="21" t="n">
        <v>870</v>
      </c>
      <c r="E32" s="22" t="str">
        <f aca="false">IF(C32=D32,"событие",IF(D32&gt;=2026,IF(A32="Личности","жив","существует"),"в прошлом"))</f>
        <v>событие</v>
      </c>
      <c r="F32" s="23" t="str">
        <f aca="false">IF(C32=D32,"",D32-C32)</f>
        <v/>
      </c>
      <c r="G32" s="23"/>
      <c r="H32" s="19" t="s">
        <v>62</v>
      </c>
      <c r="I32" s="24"/>
      <c r="M32" s="25"/>
      <c r="W32" s="25"/>
      <c r="AG32" s="25"/>
      <c r="AQ32" s="25"/>
      <c r="BA32" s="25"/>
      <c r="BK32" s="25"/>
      <c r="BU32" s="25"/>
      <c r="CE32" s="25"/>
      <c r="CO32" s="25"/>
      <c r="CY32" s="25"/>
      <c r="DI32" s="25"/>
      <c r="DS32" s="25"/>
      <c r="EC32" s="25"/>
      <c r="EM32" s="25"/>
      <c r="EW32" s="25"/>
      <c r="EZ32" s="12" t="str">
        <f aca="false">IF(AND(D32&gt;=2026,C32&lt;D32),"▶","")</f>
        <v/>
      </c>
    </row>
    <row r="33" customFormat="false" ht="12.75" hidden="false" customHeight="true" outlineLevel="0" collapsed="false">
      <c r="A33" s="19" t="s">
        <v>56</v>
      </c>
      <c r="B33" s="20" t="s">
        <v>82</v>
      </c>
      <c r="C33" s="21" t="n">
        <v>874</v>
      </c>
      <c r="D33" s="21" t="n">
        <v>874</v>
      </c>
      <c r="E33" s="22" t="str">
        <f aca="false">IF(C33=D33,"событие",IF(D33&gt;=2026,IF(A33="Личности","жив","существует"),"в прошлом"))</f>
        <v>событие</v>
      </c>
      <c r="F33" s="23" t="str">
        <f aca="false">IF(C33=D33,"",D33-C33)</f>
        <v/>
      </c>
      <c r="G33" s="23"/>
      <c r="H33" s="19" t="s">
        <v>58</v>
      </c>
      <c r="I33" s="24"/>
      <c r="M33" s="25"/>
      <c r="W33" s="25"/>
      <c r="AG33" s="25"/>
      <c r="AQ33" s="25"/>
      <c r="BA33" s="25"/>
      <c r="BK33" s="25"/>
      <c r="BU33" s="25"/>
      <c r="CE33" s="25"/>
      <c r="CO33" s="25"/>
      <c r="CY33" s="25"/>
      <c r="DI33" s="25"/>
      <c r="DS33" s="25"/>
      <c r="EC33" s="25"/>
      <c r="EM33" s="25"/>
      <c r="EW33" s="25"/>
      <c r="EZ33" s="26" t="str">
        <f aca="false">IF(AND(D33&gt;=2026,C33&lt;D33),"▶","")</f>
        <v/>
      </c>
    </row>
    <row r="34" customFormat="false" ht="12.75" hidden="false" customHeight="true" outlineLevel="0" collapsed="false">
      <c r="A34" s="19" t="s">
        <v>56</v>
      </c>
      <c r="B34" s="27" t="s">
        <v>83</v>
      </c>
      <c r="C34" s="21" t="n">
        <v>922</v>
      </c>
      <c r="D34" s="21" t="n">
        <v>922</v>
      </c>
      <c r="E34" s="22" t="str">
        <f aca="false">IF(C34=D34,"событие",IF(D34&gt;=2026,IF(A34="Личности","жив","существует"),"в прошлом"))</f>
        <v>событие</v>
      </c>
      <c r="F34" s="23" t="str">
        <f aca="false">IF(C34=D34,"",D34-C34)</f>
        <v/>
      </c>
      <c r="G34" s="23"/>
      <c r="H34" s="19" t="s">
        <v>62</v>
      </c>
      <c r="I34" s="24"/>
      <c r="M34" s="25"/>
      <c r="W34" s="25"/>
      <c r="AG34" s="25"/>
      <c r="AQ34" s="25"/>
      <c r="BA34" s="25"/>
      <c r="BK34" s="25"/>
      <c r="BU34" s="25"/>
      <c r="CE34" s="25"/>
      <c r="CO34" s="25"/>
      <c r="CY34" s="25"/>
      <c r="DI34" s="25"/>
      <c r="DS34" s="25"/>
      <c r="EC34" s="25"/>
      <c r="EM34" s="25"/>
      <c r="EW34" s="25"/>
      <c r="EZ34" s="12" t="str">
        <f aca="false">IF(AND(D34&gt;=2026,C34&lt;D34),"▶","")</f>
        <v/>
      </c>
    </row>
    <row r="35" customFormat="false" ht="12.75" hidden="false" customHeight="true" outlineLevel="0" collapsed="false">
      <c r="A35" s="19" t="s">
        <v>56</v>
      </c>
      <c r="B35" s="27" t="s">
        <v>84</v>
      </c>
      <c r="C35" s="21" t="n">
        <v>930</v>
      </c>
      <c r="D35" s="21" t="n">
        <v>930</v>
      </c>
      <c r="E35" s="22" t="str">
        <f aca="false">IF(C35=D35,"событие",IF(D35&gt;=2026,IF(A35="Личности","жив","существует"),"в прошлом"))</f>
        <v>событие</v>
      </c>
      <c r="F35" s="23" t="str">
        <f aca="false">IF(C35=D35,"",D35-C35)</f>
        <v/>
      </c>
      <c r="G35" s="23"/>
      <c r="H35" s="19" t="s">
        <v>62</v>
      </c>
      <c r="I35" s="24"/>
      <c r="M35" s="25"/>
      <c r="W35" s="25"/>
      <c r="AG35" s="25"/>
      <c r="AQ35" s="25"/>
      <c r="BA35" s="25"/>
      <c r="BK35" s="25"/>
      <c r="BU35" s="25"/>
      <c r="CE35" s="25"/>
      <c r="CO35" s="25"/>
      <c r="CY35" s="25"/>
      <c r="DI35" s="25"/>
      <c r="DS35" s="25"/>
      <c r="EC35" s="25"/>
      <c r="EM35" s="25"/>
      <c r="EW35" s="25"/>
      <c r="EZ35" s="12" t="str">
        <f aca="false">IF(AND(D35&gt;=2026,C35&lt;D35),"▶","")</f>
        <v/>
      </c>
    </row>
    <row r="36" customFormat="false" ht="12.75" hidden="false" customHeight="true" outlineLevel="0" collapsed="false">
      <c r="A36" s="19" t="s">
        <v>56</v>
      </c>
      <c r="B36" s="27" t="s">
        <v>85</v>
      </c>
      <c r="C36" s="21" t="n">
        <v>969</v>
      </c>
      <c r="D36" s="21" t="n">
        <v>969</v>
      </c>
      <c r="E36" s="22" t="str">
        <f aca="false">IF(C36=D36,"событие",IF(D36&gt;=2026,IF(A36="Личности","жив","существует"),"в прошлом"))</f>
        <v>событие</v>
      </c>
      <c r="F36" s="23" t="str">
        <f aca="false">IF(C36=D36,"",D36-C36)</f>
        <v/>
      </c>
      <c r="G36" s="23"/>
      <c r="H36" s="19" t="s">
        <v>62</v>
      </c>
      <c r="I36" s="24"/>
      <c r="M36" s="25"/>
      <c r="W36" s="25"/>
      <c r="AG36" s="25"/>
      <c r="AQ36" s="25"/>
      <c r="BA36" s="25"/>
      <c r="BK36" s="25"/>
      <c r="BU36" s="25"/>
      <c r="CE36" s="25"/>
      <c r="CO36" s="25"/>
      <c r="CY36" s="25"/>
      <c r="DI36" s="25"/>
      <c r="DS36" s="25"/>
      <c r="EC36" s="25"/>
      <c r="EM36" s="25"/>
      <c r="EW36" s="25"/>
      <c r="EZ36" s="12" t="str">
        <f aca="false">IF(AND(D36&gt;=2026,C36&lt;D36),"▶","")</f>
        <v/>
      </c>
    </row>
    <row r="37" customFormat="false" ht="12.75" hidden="false" customHeight="true" outlineLevel="0" collapsed="false">
      <c r="A37" s="19" t="s">
        <v>56</v>
      </c>
      <c r="B37" s="27" t="s">
        <v>86</v>
      </c>
      <c r="C37" s="21" t="n">
        <v>972</v>
      </c>
      <c r="D37" s="21" t="n">
        <v>972</v>
      </c>
      <c r="E37" s="22" t="str">
        <f aca="false">IF(C37=D37,"событие",IF(D37&gt;=2026,IF(A37="Личности","жив","существует"),"в прошлом"))</f>
        <v>событие</v>
      </c>
      <c r="F37" s="23" t="str">
        <f aca="false">IF(C37=D37,"",D37-C37)</f>
        <v/>
      </c>
      <c r="G37" s="23"/>
      <c r="H37" s="19" t="s">
        <v>62</v>
      </c>
      <c r="I37" s="24"/>
      <c r="M37" s="25"/>
      <c r="W37" s="25"/>
      <c r="AG37" s="25"/>
      <c r="AQ37" s="25"/>
      <c r="BA37" s="25"/>
      <c r="BK37" s="25"/>
      <c r="BU37" s="25"/>
      <c r="CE37" s="25"/>
      <c r="CO37" s="25"/>
      <c r="CY37" s="25"/>
      <c r="DI37" s="25"/>
      <c r="DS37" s="25"/>
      <c r="EC37" s="25"/>
      <c r="EM37" s="25"/>
      <c r="EW37" s="25"/>
      <c r="EZ37" s="12" t="str">
        <f aca="false">IF(AND(D37&gt;=2026,C37&lt;D37),"▶","")</f>
        <v/>
      </c>
    </row>
    <row r="38" customFormat="false" ht="12.75" hidden="false" customHeight="true" outlineLevel="0" collapsed="false">
      <c r="A38" s="19" t="s">
        <v>56</v>
      </c>
      <c r="B38" s="27" t="s">
        <v>87</v>
      </c>
      <c r="C38" s="21" t="n">
        <v>1017</v>
      </c>
      <c r="D38" s="21" t="n">
        <v>1017</v>
      </c>
      <c r="E38" s="22" t="str">
        <f aca="false">IF(C38=D38,"событие",IF(D38&gt;=2026,IF(A38="Личности","жив","существует"),"в прошлом"))</f>
        <v>событие</v>
      </c>
      <c r="F38" s="23" t="str">
        <f aca="false">IF(C38=D38,"",D38-C38)</f>
        <v/>
      </c>
      <c r="G38" s="23"/>
      <c r="H38" s="19" t="s">
        <v>62</v>
      </c>
      <c r="I38" s="24"/>
      <c r="M38" s="25"/>
      <c r="W38" s="25"/>
      <c r="AG38" s="25"/>
      <c r="AQ38" s="25"/>
      <c r="BA38" s="25"/>
      <c r="BK38" s="25"/>
      <c r="BU38" s="25"/>
      <c r="CE38" s="25"/>
      <c r="CO38" s="25"/>
      <c r="CY38" s="25"/>
      <c r="DI38" s="25"/>
      <c r="DS38" s="25"/>
      <c r="EC38" s="25"/>
      <c r="EM38" s="25"/>
      <c r="EW38" s="25"/>
      <c r="EZ38" s="12" t="str">
        <f aca="false">IF(AND(D38&gt;=2026,C38&lt;D38),"▶","")</f>
        <v/>
      </c>
    </row>
    <row r="39" customFormat="false" ht="12.75" hidden="false" customHeight="true" outlineLevel="0" collapsed="false">
      <c r="A39" s="19" t="s">
        <v>56</v>
      </c>
      <c r="B39" s="27" t="s">
        <v>88</v>
      </c>
      <c r="C39" s="21" t="n">
        <v>1055</v>
      </c>
      <c r="D39" s="21" t="n">
        <v>1055</v>
      </c>
      <c r="E39" s="22" t="str">
        <f aca="false">IF(C39=D39,"событие",IF(D39&gt;=2026,IF(A39="Личности","жив","существует"),"в прошлом"))</f>
        <v>событие</v>
      </c>
      <c r="F39" s="23" t="str">
        <f aca="false">IF(C39=D39,"",D39-C39)</f>
        <v/>
      </c>
      <c r="G39" s="23"/>
      <c r="H39" s="19" t="s">
        <v>62</v>
      </c>
      <c r="I39" s="24"/>
      <c r="M39" s="25"/>
      <c r="W39" s="25"/>
      <c r="AG39" s="25"/>
      <c r="AQ39" s="25"/>
      <c r="BA39" s="25"/>
      <c r="BK39" s="25"/>
      <c r="BU39" s="25"/>
      <c r="CE39" s="25"/>
      <c r="CO39" s="25"/>
      <c r="CY39" s="25"/>
      <c r="DI39" s="25"/>
      <c r="DS39" s="25"/>
      <c r="EC39" s="25"/>
      <c r="EM39" s="25"/>
      <c r="EW39" s="25"/>
      <c r="EZ39" s="12" t="str">
        <f aca="false">IF(AND(D39&gt;=2026,C39&lt;D39),"▶","")</f>
        <v/>
      </c>
    </row>
    <row r="40" customFormat="false" ht="12.75" hidden="false" customHeight="true" outlineLevel="0" collapsed="false">
      <c r="A40" s="19" t="s">
        <v>56</v>
      </c>
      <c r="B40" s="27" t="s">
        <v>89</v>
      </c>
      <c r="C40" s="21" t="n">
        <v>1067</v>
      </c>
      <c r="D40" s="21" t="n">
        <v>1067</v>
      </c>
      <c r="E40" s="22" t="str">
        <f aca="false">IF(C40=D40,"событие",IF(D40&gt;=2026,IF(A40="Личности","жив","существует"),"в прошлом"))</f>
        <v>событие</v>
      </c>
      <c r="F40" s="23" t="str">
        <f aca="false">IF(C40=D40,"",D40-C40)</f>
        <v/>
      </c>
      <c r="G40" s="23"/>
      <c r="H40" s="19" t="s">
        <v>62</v>
      </c>
      <c r="I40" s="24"/>
      <c r="M40" s="25"/>
      <c r="W40" s="25"/>
      <c r="AG40" s="25"/>
      <c r="AQ40" s="25"/>
      <c r="BA40" s="25"/>
      <c r="BK40" s="25"/>
      <c r="BU40" s="25"/>
      <c r="CE40" s="25"/>
      <c r="CO40" s="25"/>
      <c r="CY40" s="25"/>
      <c r="DI40" s="25"/>
      <c r="DS40" s="25"/>
      <c r="EC40" s="25"/>
      <c r="EM40" s="25"/>
      <c r="EW40" s="25"/>
      <c r="EZ40" s="12" t="str">
        <f aca="false">IF(AND(D40&gt;=2026,C40&lt;D40),"▶","")</f>
        <v/>
      </c>
    </row>
    <row r="41" customFormat="false" ht="12.75" hidden="false" customHeight="true" outlineLevel="0" collapsed="false">
      <c r="A41" s="19" t="s">
        <v>56</v>
      </c>
      <c r="B41" s="27" t="s">
        <v>90</v>
      </c>
      <c r="C41" s="21" t="n">
        <v>1071</v>
      </c>
      <c r="D41" s="21" t="n">
        <v>1071</v>
      </c>
      <c r="E41" s="22" t="str">
        <f aca="false">IF(C41=D41,"событие",IF(D41&gt;=2026,IF(A41="Личности","жив","существует"),"в прошлом"))</f>
        <v>событие</v>
      </c>
      <c r="F41" s="23" t="str">
        <f aca="false">IF(C41=D41,"",D41-C41)</f>
        <v/>
      </c>
      <c r="G41" s="23"/>
      <c r="H41" s="19" t="s">
        <v>62</v>
      </c>
      <c r="I41" s="24"/>
      <c r="M41" s="25"/>
      <c r="W41" s="25"/>
      <c r="AG41" s="25"/>
      <c r="AQ41" s="25"/>
      <c r="BA41" s="25"/>
      <c r="BK41" s="25"/>
      <c r="BU41" s="25"/>
      <c r="CE41" s="25"/>
      <c r="CO41" s="25"/>
      <c r="CY41" s="25"/>
      <c r="DI41" s="25"/>
      <c r="DS41" s="25"/>
      <c r="EC41" s="25"/>
      <c r="EM41" s="25"/>
      <c r="EW41" s="25"/>
      <c r="EZ41" s="12" t="str">
        <f aca="false">IF(AND(D41&gt;=2026,C41&lt;D41),"▶","")</f>
        <v/>
      </c>
    </row>
    <row r="42" customFormat="false" ht="12.75" hidden="false" customHeight="true" outlineLevel="0" collapsed="false">
      <c r="A42" s="19" t="s">
        <v>56</v>
      </c>
      <c r="B42" s="20" t="s">
        <v>91</v>
      </c>
      <c r="C42" s="21" t="n">
        <v>1094</v>
      </c>
      <c r="D42" s="21" t="n">
        <v>1094</v>
      </c>
      <c r="E42" s="22" t="str">
        <f aca="false">IF(C42=D42,"событие",IF(D42&gt;=2026,IF(A42="Личности","жив","существует"),"в прошлом"))</f>
        <v>событие</v>
      </c>
      <c r="F42" s="23" t="str">
        <f aca="false">IF(C42=D42,"",D42-C42)</f>
        <v/>
      </c>
      <c r="G42" s="23"/>
      <c r="H42" s="19" t="s">
        <v>58</v>
      </c>
      <c r="I42" s="24"/>
      <c r="M42" s="25"/>
      <c r="W42" s="25"/>
      <c r="AG42" s="25"/>
      <c r="AQ42" s="25"/>
      <c r="BA42" s="25"/>
      <c r="BK42" s="25"/>
      <c r="BU42" s="25"/>
      <c r="CE42" s="25"/>
      <c r="CO42" s="25"/>
      <c r="CY42" s="25"/>
      <c r="DI42" s="25"/>
      <c r="DS42" s="25"/>
      <c r="EC42" s="25"/>
      <c r="EM42" s="25"/>
      <c r="EW42" s="25"/>
      <c r="EZ42" s="26" t="str">
        <f aca="false">IF(AND(D42&gt;=2026,C42&lt;D42),"▶","")</f>
        <v/>
      </c>
    </row>
    <row r="43" customFormat="false" ht="12.75" hidden="false" customHeight="true" outlineLevel="0" collapsed="false">
      <c r="A43" s="19" t="s">
        <v>56</v>
      </c>
      <c r="B43" s="27" t="s">
        <v>92</v>
      </c>
      <c r="C43" s="21" t="n">
        <v>1099</v>
      </c>
      <c r="D43" s="21" t="n">
        <v>1099</v>
      </c>
      <c r="E43" s="22" t="str">
        <f aca="false">IF(C43=D43,"событие",IF(D43&gt;=2026,IF(A43="Личности","жив","существует"),"в прошлом"))</f>
        <v>событие</v>
      </c>
      <c r="F43" s="23" t="str">
        <f aca="false">IF(C43=D43,"",D43-C43)</f>
        <v/>
      </c>
      <c r="G43" s="23"/>
      <c r="H43" s="19" t="s">
        <v>62</v>
      </c>
      <c r="I43" s="24"/>
      <c r="M43" s="25"/>
      <c r="W43" s="25"/>
      <c r="AG43" s="25"/>
      <c r="AQ43" s="25"/>
      <c r="BA43" s="25"/>
      <c r="BK43" s="25"/>
      <c r="BU43" s="25"/>
      <c r="CE43" s="25"/>
      <c r="CO43" s="25"/>
      <c r="CY43" s="25"/>
      <c r="DI43" s="25"/>
      <c r="DS43" s="25"/>
      <c r="EC43" s="25"/>
      <c r="EM43" s="25"/>
      <c r="EW43" s="25"/>
      <c r="EZ43" s="12" t="str">
        <f aca="false">IF(AND(D43&gt;=2026,C43&lt;D43),"▶","")</f>
        <v/>
      </c>
    </row>
    <row r="44" customFormat="false" ht="12.75" hidden="false" customHeight="true" outlineLevel="0" collapsed="false">
      <c r="A44" s="19" t="s">
        <v>56</v>
      </c>
      <c r="B44" s="27" t="s">
        <v>93</v>
      </c>
      <c r="C44" s="21" t="n">
        <v>1187</v>
      </c>
      <c r="D44" s="21" t="n">
        <v>1187</v>
      </c>
      <c r="E44" s="22" t="str">
        <f aca="false">IF(C44=D44,"событие",IF(D44&gt;=2026,IF(A44="Личности","жив","существует"),"в прошлом"))</f>
        <v>событие</v>
      </c>
      <c r="F44" s="23" t="str">
        <f aca="false">IF(C44=D44,"",D44-C44)</f>
        <v/>
      </c>
      <c r="G44" s="23"/>
      <c r="H44" s="19" t="s">
        <v>62</v>
      </c>
      <c r="I44" s="24"/>
      <c r="M44" s="25"/>
      <c r="W44" s="25"/>
      <c r="AG44" s="25"/>
      <c r="AQ44" s="25"/>
      <c r="BA44" s="25"/>
      <c r="BK44" s="25"/>
      <c r="BU44" s="25"/>
      <c r="CE44" s="25"/>
      <c r="CO44" s="25"/>
      <c r="CY44" s="25"/>
      <c r="DI44" s="25"/>
      <c r="DS44" s="25"/>
      <c r="EC44" s="25"/>
      <c r="EM44" s="25"/>
      <c r="EW44" s="25"/>
      <c r="EZ44" s="12" t="str">
        <f aca="false">IF(AND(D44&gt;=2026,C44&lt;D44),"▶","")</f>
        <v/>
      </c>
    </row>
    <row r="45" customFormat="false" ht="12.75" hidden="false" customHeight="true" outlineLevel="0" collapsed="false">
      <c r="A45" s="19" t="s">
        <v>56</v>
      </c>
      <c r="B45" s="27" t="s">
        <v>94</v>
      </c>
      <c r="C45" s="21" t="n">
        <v>1219</v>
      </c>
      <c r="D45" s="21" t="n">
        <v>1219</v>
      </c>
      <c r="E45" s="22" t="str">
        <f aca="false">IF(C45=D45,"событие",IF(D45&gt;=2026,IF(A45="Личности","жив","существует"),"в прошлом"))</f>
        <v>событие</v>
      </c>
      <c r="F45" s="23" t="str">
        <f aca="false">IF(C45=D45,"",D45-C45)</f>
        <v/>
      </c>
      <c r="G45" s="23"/>
      <c r="H45" s="19" t="s">
        <v>62</v>
      </c>
      <c r="I45" s="24"/>
      <c r="M45" s="25"/>
      <c r="W45" s="25"/>
      <c r="AG45" s="25"/>
      <c r="AQ45" s="25"/>
      <c r="BA45" s="25"/>
      <c r="BK45" s="25"/>
      <c r="BU45" s="25"/>
      <c r="CE45" s="25"/>
      <c r="CO45" s="25"/>
      <c r="CY45" s="25"/>
      <c r="DI45" s="25"/>
      <c r="DS45" s="25"/>
      <c r="EC45" s="25"/>
      <c r="EM45" s="25"/>
      <c r="EW45" s="25"/>
      <c r="EZ45" s="12" t="str">
        <f aca="false">IF(AND(D45&gt;=2026,C45&lt;D45),"▶","")</f>
        <v/>
      </c>
    </row>
    <row r="46" customFormat="false" ht="12.75" hidden="false" customHeight="true" outlineLevel="0" collapsed="false">
      <c r="A46" s="19" t="s">
        <v>56</v>
      </c>
      <c r="B46" s="20" t="s">
        <v>95</v>
      </c>
      <c r="C46" s="21" t="n">
        <v>1258</v>
      </c>
      <c r="D46" s="21" t="n">
        <v>1258</v>
      </c>
      <c r="E46" s="22" t="str">
        <f aca="false">IF(C46=D46,"событие",IF(D46&gt;=2026,IF(A46="Личности","жив","существует"),"в прошлом"))</f>
        <v>событие</v>
      </c>
      <c r="F46" s="23" t="str">
        <f aca="false">IF(C46=D46,"",D46-C46)</f>
        <v/>
      </c>
      <c r="G46" s="23"/>
      <c r="H46" s="19" t="s">
        <v>58</v>
      </c>
      <c r="I46" s="24"/>
      <c r="M46" s="25"/>
      <c r="W46" s="25"/>
      <c r="AG46" s="25"/>
      <c r="AQ46" s="25"/>
      <c r="BA46" s="25"/>
      <c r="BK46" s="25"/>
      <c r="BU46" s="25"/>
      <c r="CE46" s="25"/>
      <c r="CO46" s="25"/>
      <c r="CY46" s="25"/>
      <c r="DI46" s="25"/>
      <c r="DS46" s="25"/>
      <c r="EC46" s="25"/>
      <c r="EM46" s="25"/>
      <c r="EW46" s="25"/>
      <c r="EZ46" s="26" t="str">
        <f aca="false">IF(AND(D46&gt;=2026,C46&lt;D46),"▶","")</f>
        <v/>
      </c>
    </row>
    <row r="47" customFormat="false" ht="12.75" hidden="false" customHeight="true" outlineLevel="0" collapsed="false">
      <c r="A47" s="19" t="s">
        <v>56</v>
      </c>
      <c r="B47" s="27" t="s">
        <v>96</v>
      </c>
      <c r="C47" s="21" t="n">
        <v>1260</v>
      </c>
      <c r="D47" s="21" t="n">
        <v>1260</v>
      </c>
      <c r="E47" s="22" t="str">
        <f aca="false">IF(C47=D47,"событие",IF(D47&gt;=2026,IF(A47="Личности","жив","существует"),"в прошлом"))</f>
        <v>событие</v>
      </c>
      <c r="F47" s="23" t="str">
        <f aca="false">IF(C47=D47,"",D47-C47)</f>
        <v/>
      </c>
      <c r="G47" s="23"/>
      <c r="H47" s="19" t="s">
        <v>62</v>
      </c>
      <c r="I47" s="24"/>
      <c r="M47" s="25"/>
      <c r="W47" s="25"/>
      <c r="AG47" s="25"/>
      <c r="AQ47" s="25"/>
      <c r="BA47" s="25"/>
      <c r="BK47" s="25"/>
      <c r="BU47" s="25"/>
      <c r="CE47" s="25"/>
      <c r="CO47" s="25"/>
      <c r="CY47" s="25"/>
      <c r="DI47" s="25"/>
      <c r="DS47" s="25"/>
      <c r="EC47" s="25"/>
      <c r="EM47" s="25"/>
      <c r="EW47" s="25"/>
      <c r="EZ47" s="12" t="str">
        <f aca="false">IF(AND(D47&gt;=2026,C47&lt;D47),"▶","")</f>
        <v/>
      </c>
    </row>
    <row r="48" customFormat="false" ht="12.75" hidden="false" customHeight="true" outlineLevel="0" collapsed="false">
      <c r="A48" s="19" t="s">
        <v>56</v>
      </c>
      <c r="B48" s="27" t="s">
        <v>97</v>
      </c>
      <c r="C48" s="21" t="n">
        <v>1313</v>
      </c>
      <c r="D48" s="21" t="n">
        <v>1313</v>
      </c>
      <c r="E48" s="22" t="str">
        <f aca="false">IF(C48=D48,"событие",IF(D48&gt;=2026,IF(A48="Личности","жив","существует"),"в прошлом"))</f>
        <v>событие</v>
      </c>
      <c r="F48" s="23" t="str">
        <f aca="false">IF(C48=D48,"",D48-C48)</f>
        <v/>
      </c>
      <c r="G48" s="23"/>
      <c r="H48" s="19" t="s">
        <v>62</v>
      </c>
      <c r="I48" s="24"/>
      <c r="M48" s="25"/>
      <c r="W48" s="25"/>
      <c r="AG48" s="25"/>
      <c r="AQ48" s="25"/>
      <c r="BA48" s="25"/>
      <c r="BK48" s="25"/>
      <c r="BU48" s="25"/>
      <c r="CE48" s="25"/>
      <c r="CO48" s="25"/>
      <c r="CY48" s="25"/>
      <c r="DI48" s="25"/>
      <c r="DS48" s="25"/>
      <c r="EC48" s="25"/>
      <c r="EM48" s="25"/>
      <c r="EW48" s="25"/>
      <c r="EZ48" s="12" t="str">
        <f aca="false">IF(AND(D48&gt;=2026,C48&lt;D48),"▶","")</f>
        <v/>
      </c>
    </row>
    <row r="49" customFormat="false" ht="12.75" hidden="false" customHeight="true" outlineLevel="0" collapsed="false">
      <c r="A49" s="19" t="s">
        <v>56</v>
      </c>
      <c r="B49" s="20" t="s">
        <v>98</v>
      </c>
      <c r="C49" s="21" t="n">
        <v>1453</v>
      </c>
      <c r="D49" s="21" t="n">
        <v>1453</v>
      </c>
      <c r="E49" s="22" t="str">
        <f aca="false">IF(C49=D49,"событие",IF(D49&gt;=2026,IF(A49="Личности","жив","существует"),"в прошлом"))</f>
        <v>событие</v>
      </c>
      <c r="F49" s="23" t="str">
        <f aca="false">IF(C49=D49,"",D49-C49)</f>
        <v/>
      </c>
      <c r="G49" s="23"/>
      <c r="H49" s="19" t="s">
        <v>58</v>
      </c>
      <c r="I49" s="24"/>
      <c r="M49" s="25"/>
      <c r="W49" s="25"/>
      <c r="AG49" s="25"/>
      <c r="AQ49" s="25"/>
      <c r="BA49" s="25"/>
      <c r="BK49" s="25"/>
      <c r="BU49" s="25"/>
      <c r="CE49" s="25"/>
      <c r="CO49" s="25"/>
      <c r="CY49" s="25"/>
      <c r="DI49" s="25"/>
      <c r="DS49" s="25"/>
      <c r="EC49" s="25"/>
      <c r="EM49" s="25"/>
      <c r="EW49" s="25"/>
      <c r="EZ49" s="26" t="str">
        <f aca="false">IF(AND(D49&gt;=2026,C49&lt;D49),"▶","")</f>
        <v/>
      </c>
    </row>
    <row r="50" customFormat="false" ht="12.75" hidden="false" customHeight="true" outlineLevel="0" collapsed="false">
      <c r="A50" s="19" t="s">
        <v>56</v>
      </c>
      <c r="B50" s="27" t="s">
        <v>99</v>
      </c>
      <c r="C50" s="21" t="n">
        <v>1465</v>
      </c>
      <c r="D50" s="21" t="n">
        <v>1465</v>
      </c>
      <c r="E50" s="22" t="str">
        <f aca="false">IF(C50=D50,"событие",IF(D50&gt;=2026,IF(A50="Личности","жив","существует"),"в прошлом"))</f>
        <v>событие</v>
      </c>
      <c r="F50" s="23" t="str">
        <f aca="false">IF(C50=D50,"",D50-C50)</f>
        <v/>
      </c>
      <c r="G50" s="23"/>
      <c r="H50" s="19" t="s">
        <v>62</v>
      </c>
      <c r="I50" s="24"/>
      <c r="M50" s="25"/>
      <c r="W50" s="25"/>
      <c r="AG50" s="25"/>
      <c r="AQ50" s="25"/>
      <c r="BA50" s="25"/>
      <c r="BK50" s="25"/>
      <c r="BU50" s="25"/>
      <c r="CE50" s="25"/>
      <c r="CO50" s="25"/>
      <c r="CY50" s="25"/>
      <c r="DI50" s="25"/>
      <c r="DS50" s="25"/>
      <c r="EC50" s="25"/>
      <c r="EM50" s="25"/>
      <c r="EW50" s="25"/>
      <c r="EZ50" s="12" t="str">
        <f aca="false">IF(AND(D50&gt;=2026,C50&lt;D50),"▶","")</f>
        <v/>
      </c>
    </row>
    <row r="51" customFormat="false" ht="12.75" hidden="false" customHeight="true" outlineLevel="0" collapsed="false">
      <c r="A51" s="19" t="s">
        <v>56</v>
      </c>
      <c r="B51" s="27" t="s">
        <v>100</v>
      </c>
      <c r="C51" s="21" t="n">
        <v>1492</v>
      </c>
      <c r="D51" s="21" t="n">
        <v>1492</v>
      </c>
      <c r="E51" s="22" t="str">
        <f aca="false">IF(C51=D51,"событие",IF(D51&gt;=2026,IF(A51="Личности","жив","существует"),"в прошлом"))</f>
        <v>событие</v>
      </c>
      <c r="F51" s="23" t="str">
        <f aca="false">IF(C51=D51,"",D51-C51)</f>
        <v/>
      </c>
      <c r="G51" s="23"/>
      <c r="H51" s="19" t="s">
        <v>62</v>
      </c>
      <c r="I51" s="24"/>
      <c r="M51" s="25"/>
      <c r="W51" s="25"/>
      <c r="AG51" s="25"/>
      <c r="AQ51" s="25"/>
      <c r="BA51" s="25"/>
      <c r="BK51" s="25"/>
      <c r="BU51" s="25"/>
      <c r="CE51" s="25"/>
      <c r="CO51" s="25"/>
      <c r="CY51" s="25"/>
      <c r="DI51" s="25"/>
      <c r="DS51" s="25"/>
      <c r="EC51" s="25"/>
      <c r="EM51" s="25"/>
      <c r="EW51" s="25"/>
      <c r="EZ51" s="12" t="str">
        <f aca="false">IF(AND(D51&gt;=2026,C51&lt;D51),"▶","")</f>
        <v/>
      </c>
    </row>
    <row r="52" customFormat="false" ht="12.75" hidden="false" customHeight="true" outlineLevel="0" collapsed="false">
      <c r="A52" s="19" t="s">
        <v>56</v>
      </c>
      <c r="B52" s="20" t="s">
        <v>101</v>
      </c>
      <c r="C52" s="21" t="n">
        <v>1501</v>
      </c>
      <c r="D52" s="21" t="n">
        <v>1501</v>
      </c>
      <c r="E52" s="22" t="str">
        <f aca="false">IF(C52=D52,"событие",IF(D52&gt;=2026,IF(A52="Личности","жив","существует"),"в прошлом"))</f>
        <v>событие</v>
      </c>
      <c r="F52" s="23" t="str">
        <f aca="false">IF(C52=D52,"",D52-C52)</f>
        <v/>
      </c>
      <c r="G52" s="23"/>
      <c r="H52" s="19" t="s">
        <v>58</v>
      </c>
      <c r="I52" s="24"/>
      <c r="M52" s="25"/>
      <c r="W52" s="25"/>
      <c r="AG52" s="25"/>
      <c r="AQ52" s="25"/>
      <c r="BA52" s="25"/>
      <c r="BK52" s="25"/>
      <c r="BU52" s="25"/>
      <c r="CE52" s="25"/>
      <c r="CO52" s="25"/>
      <c r="CY52" s="25"/>
      <c r="DI52" s="25"/>
      <c r="DS52" s="25"/>
      <c r="EC52" s="25"/>
      <c r="EM52" s="25"/>
      <c r="EW52" s="25"/>
      <c r="EZ52" s="26" t="str">
        <f aca="false">IF(AND(D52&gt;=2026,C52&lt;D52),"▶","")</f>
        <v/>
      </c>
    </row>
    <row r="53" customFormat="false" ht="12.75" hidden="false" customHeight="true" outlineLevel="0" collapsed="false">
      <c r="A53" s="19" t="s">
        <v>56</v>
      </c>
      <c r="B53" s="27" t="s">
        <v>102</v>
      </c>
      <c r="C53" s="21" t="n">
        <v>1517</v>
      </c>
      <c r="D53" s="21" t="n">
        <v>1517</v>
      </c>
      <c r="E53" s="22" t="str">
        <f aca="false">IF(C53=D53,"событие",IF(D53&gt;=2026,IF(A53="Личности","жив","существует"),"в прошлом"))</f>
        <v>событие</v>
      </c>
      <c r="F53" s="23" t="str">
        <f aca="false">IF(C53=D53,"",D53-C53)</f>
        <v/>
      </c>
      <c r="G53" s="23"/>
      <c r="H53" s="19" t="s">
        <v>62</v>
      </c>
      <c r="I53" s="24"/>
      <c r="M53" s="25"/>
      <c r="W53" s="25"/>
      <c r="AG53" s="25"/>
      <c r="AQ53" s="25"/>
      <c r="BA53" s="25"/>
      <c r="BK53" s="25"/>
      <c r="BU53" s="25"/>
      <c r="CE53" s="25"/>
      <c r="CO53" s="25"/>
      <c r="CY53" s="25"/>
      <c r="DI53" s="25"/>
      <c r="DS53" s="25"/>
      <c r="EC53" s="25"/>
      <c r="EM53" s="25"/>
      <c r="EW53" s="25"/>
      <c r="EZ53" s="12" t="str">
        <f aca="false">IF(AND(D53&gt;=2026,C53&lt;D53),"▶","")</f>
        <v/>
      </c>
    </row>
    <row r="54" customFormat="false" ht="12.75" hidden="false" customHeight="true" outlineLevel="0" collapsed="false">
      <c r="A54" s="19" t="s">
        <v>56</v>
      </c>
      <c r="B54" s="27" t="s">
        <v>103</v>
      </c>
      <c r="C54" s="21" t="n">
        <v>1526</v>
      </c>
      <c r="D54" s="21" t="n">
        <v>1526</v>
      </c>
      <c r="E54" s="22" t="str">
        <f aca="false">IF(C54=D54,"событие",IF(D54&gt;=2026,IF(A54="Личности","жив","существует"),"в прошлом"))</f>
        <v>событие</v>
      </c>
      <c r="F54" s="23" t="str">
        <f aca="false">IF(C54=D54,"",D54-C54)</f>
        <v/>
      </c>
      <c r="G54" s="23"/>
      <c r="H54" s="19" t="s">
        <v>62</v>
      </c>
      <c r="I54" s="24"/>
      <c r="M54" s="25"/>
      <c r="W54" s="25"/>
      <c r="AG54" s="25"/>
      <c r="AQ54" s="25"/>
      <c r="BA54" s="25"/>
      <c r="BK54" s="25"/>
      <c r="BU54" s="25"/>
      <c r="CE54" s="25"/>
      <c r="CO54" s="25"/>
      <c r="CY54" s="25"/>
      <c r="DI54" s="25"/>
      <c r="DS54" s="25"/>
      <c r="EC54" s="25"/>
      <c r="EM54" s="25"/>
      <c r="EW54" s="25"/>
      <c r="EZ54" s="12" t="str">
        <f aca="false">IF(AND(D54&gt;=2026,C54&lt;D54),"▶","")</f>
        <v/>
      </c>
    </row>
    <row r="55" customFormat="false" ht="12.75" hidden="false" customHeight="true" outlineLevel="0" collapsed="false">
      <c r="A55" s="19" t="s">
        <v>56</v>
      </c>
      <c r="B55" s="27" t="s">
        <v>104</v>
      </c>
      <c r="C55" s="21" t="n">
        <v>1552</v>
      </c>
      <c r="D55" s="21" t="n">
        <v>1552</v>
      </c>
      <c r="E55" s="22" t="str">
        <f aca="false">IF(C55=D55,"событие",IF(D55&gt;=2026,IF(A55="Личности","жив","существует"),"в прошлом"))</f>
        <v>событие</v>
      </c>
      <c r="F55" s="23" t="str">
        <f aca="false">IF(C55=D55,"",D55-C55)</f>
        <v/>
      </c>
      <c r="G55" s="23"/>
      <c r="H55" s="19" t="s">
        <v>62</v>
      </c>
      <c r="I55" s="24"/>
      <c r="M55" s="25"/>
      <c r="W55" s="25"/>
      <c r="AG55" s="25"/>
      <c r="AQ55" s="25"/>
      <c r="BA55" s="25"/>
      <c r="BK55" s="25"/>
      <c r="BU55" s="25"/>
      <c r="CE55" s="25"/>
      <c r="CO55" s="25"/>
      <c r="CY55" s="25"/>
      <c r="DI55" s="25"/>
      <c r="DS55" s="25"/>
      <c r="EC55" s="25"/>
      <c r="EM55" s="25"/>
      <c r="EW55" s="25"/>
      <c r="EZ55" s="12" t="str">
        <f aca="false">IF(AND(D55&gt;=2026,C55&lt;D55),"▶","")</f>
        <v/>
      </c>
    </row>
    <row r="56" customFormat="false" ht="12.75" hidden="false" customHeight="true" outlineLevel="0" collapsed="false">
      <c r="A56" s="19" t="s">
        <v>56</v>
      </c>
      <c r="B56" s="27" t="s">
        <v>105</v>
      </c>
      <c r="C56" s="21" t="n">
        <v>1683</v>
      </c>
      <c r="D56" s="21" t="n">
        <v>1683</v>
      </c>
      <c r="E56" s="22" t="str">
        <f aca="false">IF(C56=D56,"событие",IF(D56&gt;=2026,IF(A56="Личности","жив","существует"),"в прошлом"))</f>
        <v>событие</v>
      </c>
      <c r="F56" s="23" t="str">
        <f aca="false">IF(C56=D56,"",D56-C56)</f>
        <v/>
      </c>
      <c r="G56" s="23"/>
      <c r="H56" s="19" t="s">
        <v>62</v>
      </c>
      <c r="I56" s="24"/>
      <c r="M56" s="25"/>
      <c r="W56" s="25"/>
      <c r="AG56" s="25"/>
      <c r="AQ56" s="25"/>
      <c r="BA56" s="25"/>
      <c r="BK56" s="25"/>
      <c r="BU56" s="25"/>
      <c r="CE56" s="25"/>
      <c r="CO56" s="25"/>
      <c r="CY56" s="25"/>
      <c r="DI56" s="25"/>
      <c r="DS56" s="25"/>
      <c r="EC56" s="25"/>
      <c r="EM56" s="25"/>
      <c r="EW56" s="25"/>
      <c r="EZ56" s="12" t="str">
        <f aca="false">IF(AND(D56&gt;=2026,C56&lt;D56),"▶","")</f>
        <v/>
      </c>
    </row>
    <row r="57" customFormat="false" ht="12.75" hidden="false" customHeight="true" outlineLevel="0" collapsed="false">
      <c r="A57" s="19" t="s">
        <v>56</v>
      </c>
      <c r="B57" s="20" t="s">
        <v>106</v>
      </c>
      <c r="C57" s="21" t="n">
        <v>1744</v>
      </c>
      <c r="D57" s="21" t="n">
        <v>1744</v>
      </c>
      <c r="E57" s="22" t="str">
        <f aca="false">IF(C57=D57,"событие",IF(D57&gt;=2026,IF(A57="Личности","жив","существует"),"в прошлом"))</f>
        <v>событие</v>
      </c>
      <c r="F57" s="23" t="str">
        <f aca="false">IF(C57=D57,"",D57-C57)</f>
        <v/>
      </c>
      <c r="G57" s="23"/>
      <c r="H57" s="19" t="s">
        <v>58</v>
      </c>
      <c r="I57" s="24"/>
      <c r="M57" s="25"/>
      <c r="W57" s="25"/>
      <c r="AG57" s="25"/>
      <c r="AQ57" s="25"/>
      <c r="BA57" s="25"/>
      <c r="BK57" s="25"/>
      <c r="BU57" s="25"/>
      <c r="CE57" s="25"/>
      <c r="CO57" s="25"/>
      <c r="CY57" s="25"/>
      <c r="DI57" s="25"/>
      <c r="DS57" s="25"/>
      <c r="EC57" s="25"/>
      <c r="EM57" s="25"/>
      <c r="EW57" s="25"/>
      <c r="EZ57" s="26" t="str">
        <f aca="false">IF(AND(D57&gt;=2026,C57&lt;D57),"▶","")</f>
        <v/>
      </c>
    </row>
    <row r="58" customFormat="false" ht="12.75" hidden="false" customHeight="true" outlineLevel="0" collapsed="false">
      <c r="A58" s="19" t="s">
        <v>56</v>
      </c>
      <c r="B58" s="27" t="s">
        <v>107</v>
      </c>
      <c r="C58" s="21" t="n">
        <v>1788</v>
      </c>
      <c r="D58" s="21" t="n">
        <v>1788</v>
      </c>
      <c r="E58" s="22" t="str">
        <f aca="false">IF(C58=D58,"событие",IF(D58&gt;=2026,IF(A58="Личности","жив","существует"),"в прошлом"))</f>
        <v>событие</v>
      </c>
      <c r="F58" s="23" t="str">
        <f aca="false">IF(C58=D58,"",D58-C58)</f>
        <v/>
      </c>
      <c r="G58" s="23"/>
      <c r="H58" s="19" t="s">
        <v>62</v>
      </c>
      <c r="I58" s="24"/>
      <c r="M58" s="25"/>
      <c r="W58" s="25"/>
      <c r="AG58" s="25"/>
      <c r="AQ58" s="25"/>
      <c r="BA58" s="25"/>
      <c r="BK58" s="25"/>
      <c r="BU58" s="25"/>
      <c r="CE58" s="25"/>
      <c r="CO58" s="25"/>
      <c r="CY58" s="25"/>
      <c r="DI58" s="25"/>
      <c r="DS58" s="25"/>
      <c r="EC58" s="25"/>
      <c r="EM58" s="25"/>
      <c r="EW58" s="25"/>
      <c r="EZ58" s="12" t="str">
        <f aca="false">IF(AND(D58&gt;=2026,C58&lt;D58),"▶","")</f>
        <v/>
      </c>
    </row>
    <row r="59" customFormat="false" ht="12.75" hidden="false" customHeight="true" outlineLevel="0" collapsed="false">
      <c r="A59" s="19" t="s">
        <v>56</v>
      </c>
      <c r="B59" s="27" t="s">
        <v>108</v>
      </c>
      <c r="C59" s="21" t="n">
        <v>1798</v>
      </c>
      <c r="D59" s="21" t="n">
        <v>1798</v>
      </c>
      <c r="E59" s="22" t="str">
        <f aca="false">IF(C59=D59,"событие",IF(D59&gt;=2026,IF(A59="Личности","жив","существует"),"в прошлом"))</f>
        <v>событие</v>
      </c>
      <c r="F59" s="23" t="str">
        <f aca="false">IF(C59=D59,"",D59-C59)</f>
        <v/>
      </c>
      <c r="G59" s="23"/>
      <c r="H59" s="19" t="s">
        <v>62</v>
      </c>
      <c r="I59" s="24"/>
      <c r="M59" s="25"/>
      <c r="W59" s="25"/>
      <c r="AG59" s="25"/>
      <c r="AQ59" s="25"/>
      <c r="BA59" s="25"/>
      <c r="BK59" s="25"/>
      <c r="BU59" s="25"/>
      <c r="CE59" s="25"/>
      <c r="CO59" s="25"/>
      <c r="CY59" s="25"/>
      <c r="DI59" s="25"/>
      <c r="DS59" s="25"/>
      <c r="EC59" s="25"/>
      <c r="EM59" s="25"/>
      <c r="EW59" s="25"/>
      <c r="EZ59" s="12" t="str">
        <f aca="false">IF(AND(D59&gt;=2026,C59&lt;D59),"▶","")</f>
        <v/>
      </c>
    </row>
    <row r="60" customFormat="false" ht="12.75" hidden="false" customHeight="true" outlineLevel="0" collapsed="false">
      <c r="A60" s="19" t="s">
        <v>56</v>
      </c>
      <c r="B60" s="27" t="s">
        <v>109</v>
      </c>
      <c r="C60" s="21" t="n">
        <v>1804</v>
      </c>
      <c r="D60" s="21" t="n">
        <v>1804</v>
      </c>
      <c r="E60" s="22" t="str">
        <f aca="false">IF(C60=D60,"событие",IF(D60&gt;=2026,IF(A60="Личности","жив","существует"),"в прошлом"))</f>
        <v>событие</v>
      </c>
      <c r="F60" s="23" t="str">
        <f aca="false">IF(C60=D60,"",D60-C60)</f>
        <v/>
      </c>
      <c r="G60" s="23"/>
      <c r="H60" s="19" t="s">
        <v>62</v>
      </c>
      <c r="I60" s="24"/>
      <c r="M60" s="25"/>
      <c r="W60" s="25"/>
      <c r="AG60" s="25"/>
      <c r="AQ60" s="25"/>
      <c r="BA60" s="25"/>
      <c r="BK60" s="25"/>
      <c r="BU60" s="25"/>
      <c r="CE60" s="25"/>
      <c r="CO60" s="25"/>
      <c r="CY60" s="25"/>
      <c r="DI60" s="25"/>
      <c r="DS60" s="25"/>
      <c r="EC60" s="25"/>
      <c r="EM60" s="25"/>
      <c r="EW60" s="25"/>
      <c r="EZ60" s="12" t="str">
        <f aca="false">IF(AND(D60&gt;=2026,C60&lt;D60),"▶","")</f>
        <v/>
      </c>
    </row>
    <row r="61" customFormat="false" ht="12.75" hidden="false" customHeight="true" outlineLevel="0" collapsed="false">
      <c r="A61" s="19" t="s">
        <v>56</v>
      </c>
      <c r="B61" s="27" t="s">
        <v>110</v>
      </c>
      <c r="C61" s="21" t="n">
        <v>1834</v>
      </c>
      <c r="D61" s="21" t="n">
        <v>1834</v>
      </c>
      <c r="E61" s="22" t="str">
        <f aca="false">IF(C61=D61,"событие",IF(D61&gt;=2026,IF(A61="Личности","жив","существует"),"в прошлом"))</f>
        <v>событие</v>
      </c>
      <c r="F61" s="23" t="str">
        <f aca="false">IF(C61=D61,"",D61-C61)</f>
        <v/>
      </c>
      <c r="G61" s="23"/>
      <c r="H61" s="19" t="s">
        <v>62</v>
      </c>
      <c r="I61" s="24"/>
      <c r="M61" s="25"/>
      <c r="W61" s="25"/>
      <c r="AG61" s="25"/>
      <c r="AQ61" s="25"/>
      <c r="BA61" s="25"/>
      <c r="BK61" s="25"/>
      <c r="BU61" s="25"/>
      <c r="CE61" s="25"/>
      <c r="CO61" s="25"/>
      <c r="CY61" s="25"/>
      <c r="DI61" s="25"/>
      <c r="DS61" s="25"/>
      <c r="EC61" s="25"/>
      <c r="EM61" s="25"/>
      <c r="EW61" s="25"/>
      <c r="EZ61" s="12" t="str">
        <f aca="false">IF(AND(D61&gt;=2026,C61&lt;D61),"▶","")</f>
        <v/>
      </c>
    </row>
    <row r="62" customFormat="false" ht="12.75" hidden="false" customHeight="true" outlineLevel="0" collapsed="false">
      <c r="A62" s="19" t="s">
        <v>56</v>
      </c>
      <c r="B62" s="27" t="s">
        <v>111</v>
      </c>
      <c r="C62" s="21" t="n">
        <v>1844</v>
      </c>
      <c r="D62" s="21" t="n">
        <v>1844</v>
      </c>
      <c r="E62" s="22" t="str">
        <f aca="false">IF(C62=D62,"событие",IF(D62&gt;=2026,IF(A62="Личности","жив","существует"),"в прошлом"))</f>
        <v>событие</v>
      </c>
      <c r="F62" s="23" t="str">
        <f aca="false">IF(C62=D62,"",D62-C62)</f>
        <v/>
      </c>
      <c r="G62" s="23"/>
      <c r="H62" s="19" t="s">
        <v>62</v>
      </c>
      <c r="I62" s="24"/>
      <c r="M62" s="25"/>
      <c r="W62" s="25"/>
      <c r="AG62" s="25"/>
      <c r="AQ62" s="25"/>
      <c r="BA62" s="25"/>
      <c r="BK62" s="25"/>
      <c r="BU62" s="25"/>
      <c r="CE62" s="25"/>
      <c r="CO62" s="25"/>
      <c r="CY62" s="25"/>
      <c r="DI62" s="25"/>
      <c r="DS62" s="25"/>
      <c r="EC62" s="25"/>
      <c r="EM62" s="25"/>
      <c r="EW62" s="25"/>
      <c r="EZ62" s="12" t="str">
        <f aca="false">IF(AND(D62&gt;=2026,C62&lt;D62),"▶","")</f>
        <v/>
      </c>
    </row>
    <row r="63" customFormat="false" ht="12.75" hidden="false" customHeight="true" outlineLevel="0" collapsed="false">
      <c r="A63" s="19" t="s">
        <v>56</v>
      </c>
      <c r="B63" s="27" t="s">
        <v>112</v>
      </c>
      <c r="C63" s="21" t="n">
        <v>1857</v>
      </c>
      <c r="D63" s="21" t="n">
        <v>1857</v>
      </c>
      <c r="E63" s="22" t="str">
        <f aca="false">IF(C63=D63,"событие",IF(D63&gt;=2026,IF(A63="Личности","жив","существует"),"в прошлом"))</f>
        <v>событие</v>
      </c>
      <c r="F63" s="23" t="str">
        <f aca="false">IF(C63=D63,"",D63-C63)</f>
        <v/>
      </c>
      <c r="G63" s="23"/>
      <c r="H63" s="19" t="s">
        <v>62</v>
      </c>
      <c r="I63" s="24"/>
      <c r="M63" s="25"/>
      <c r="W63" s="25"/>
      <c r="AG63" s="25"/>
      <c r="AQ63" s="25"/>
      <c r="BA63" s="25"/>
      <c r="BK63" s="25"/>
      <c r="BU63" s="25"/>
      <c r="CE63" s="25"/>
      <c r="CO63" s="25"/>
      <c r="CY63" s="25"/>
      <c r="DI63" s="25"/>
      <c r="DS63" s="25"/>
      <c r="EC63" s="25"/>
      <c r="EM63" s="25"/>
      <c r="EW63" s="25"/>
      <c r="EZ63" s="12" t="str">
        <f aca="false">IF(AND(D63&gt;=2026,C63&lt;D63),"▶","")</f>
        <v/>
      </c>
    </row>
    <row r="64" customFormat="false" ht="12.75" hidden="false" customHeight="true" outlineLevel="0" collapsed="false">
      <c r="A64" s="19" t="s">
        <v>56</v>
      </c>
      <c r="B64" s="27" t="s">
        <v>113</v>
      </c>
      <c r="C64" s="21" t="n">
        <v>1867</v>
      </c>
      <c r="D64" s="21" t="n">
        <v>1867</v>
      </c>
      <c r="E64" s="22" t="str">
        <f aca="false">IF(C64=D64,"событие",IF(D64&gt;=2026,IF(A64="Личности","жив","существует"),"в прошлом"))</f>
        <v>событие</v>
      </c>
      <c r="F64" s="23" t="str">
        <f aca="false">IF(C64=D64,"",D64-C64)</f>
        <v/>
      </c>
      <c r="G64" s="23"/>
      <c r="H64" s="19" t="s">
        <v>62</v>
      </c>
      <c r="I64" s="24"/>
      <c r="M64" s="25"/>
      <c r="W64" s="25"/>
      <c r="AG64" s="25"/>
      <c r="AQ64" s="25"/>
      <c r="BA64" s="25"/>
      <c r="BK64" s="25"/>
      <c r="BU64" s="25"/>
      <c r="CE64" s="25"/>
      <c r="CO64" s="25"/>
      <c r="CY64" s="25"/>
      <c r="DI64" s="25"/>
      <c r="DS64" s="25"/>
      <c r="EC64" s="25"/>
      <c r="EM64" s="25"/>
      <c r="EW64" s="25"/>
      <c r="EZ64" s="12" t="str">
        <f aca="false">IF(AND(D64&gt;=2026,C64&lt;D64),"▶","")</f>
        <v/>
      </c>
    </row>
    <row r="65" customFormat="false" ht="12.75" hidden="false" customHeight="true" outlineLevel="0" collapsed="false">
      <c r="A65" s="19" t="s">
        <v>56</v>
      </c>
      <c r="B65" s="27" t="s">
        <v>114</v>
      </c>
      <c r="C65" s="21" t="n">
        <v>1883</v>
      </c>
      <c r="D65" s="21" t="n">
        <v>1883</v>
      </c>
      <c r="E65" s="22" t="str">
        <f aca="false">IF(C65=D65,"событие",IF(D65&gt;=2026,IF(A65="Личности","жив","существует"),"в прошлом"))</f>
        <v>событие</v>
      </c>
      <c r="F65" s="23" t="str">
        <f aca="false">IF(C65=D65,"",D65-C65)</f>
        <v/>
      </c>
      <c r="G65" s="23"/>
      <c r="H65" s="19" t="s">
        <v>62</v>
      </c>
      <c r="I65" s="24"/>
      <c r="M65" s="25"/>
      <c r="W65" s="25"/>
      <c r="AG65" s="25"/>
      <c r="AQ65" s="25"/>
      <c r="BA65" s="25"/>
      <c r="BK65" s="25"/>
      <c r="BU65" s="25"/>
      <c r="CE65" s="25"/>
      <c r="CO65" s="25"/>
      <c r="CY65" s="25"/>
      <c r="DI65" s="25"/>
      <c r="DS65" s="25"/>
      <c r="EC65" s="25"/>
      <c r="EM65" s="25"/>
      <c r="EW65" s="25"/>
      <c r="EZ65" s="12" t="str">
        <f aca="false">IF(AND(D65&gt;=2026,C65&lt;D65),"▶","")</f>
        <v/>
      </c>
    </row>
    <row r="66" customFormat="false" ht="12.75" hidden="false" customHeight="true" outlineLevel="0" collapsed="false">
      <c r="A66" s="19" t="s">
        <v>56</v>
      </c>
      <c r="B66" s="27" t="s">
        <v>115</v>
      </c>
      <c r="C66" s="21" t="n">
        <v>1889</v>
      </c>
      <c r="D66" s="21" t="n">
        <v>1889</v>
      </c>
      <c r="E66" s="22" t="str">
        <f aca="false">IF(C66=D66,"событие",IF(D66&gt;=2026,IF(A66="Личности","жив","существует"),"в прошлом"))</f>
        <v>событие</v>
      </c>
      <c r="F66" s="23" t="str">
        <f aca="false">IF(C66=D66,"",D66-C66)</f>
        <v/>
      </c>
      <c r="G66" s="23"/>
      <c r="H66" s="19" t="s">
        <v>62</v>
      </c>
      <c r="I66" s="24"/>
      <c r="M66" s="25"/>
      <c r="W66" s="25"/>
      <c r="AG66" s="25"/>
      <c r="AQ66" s="25"/>
      <c r="BA66" s="25"/>
      <c r="BK66" s="25"/>
      <c r="BU66" s="25"/>
      <c r="CE66" s="25"/>
      <c r="CO66" s="25"/>
      <c r="CY66" s="25"/>
      <c r="DI66" s="25"/>
      <c r="DS66" s="25"/>
      <c r="EC66" s="25"/>
      <c r="EM66" s="25"/>
      <c r="EW66" s="25"/>
      <c r="EZ66" s="12" t="str">
        <f aca="false">IF(AND(D66&gt;=2026,C66&lt;D66),"▶","")</f>
        <v/>
      </c>
    </row>
    <row r="67" customFormat="false" ht="12.75" hidden="false" customHeight="true" outlineLevel="0" collapsed="false">
      <c r="A67" s="19" t="s">
        <v>56</v>
      </c>
      <c r="B67" s="20" t="s">
        <v>116</v>
      </c>
      <c r="C67" s="21" t="n">
        <v>1924</v>
      </c>
      <c r="D67" s="21" t="n">
        <v>1924</v>
      </c>
      <c r="E67" s="22" t="str">
        <f aca="false">IF(C67=D67,"событие",IF(D67&gt;=2026,IF(A67="Личности","жив","существует"),"в прошлом"))</f>
        <v>событие</v>
      </c>
      <c r="F67" s="23" t="str">
        <f aca="false">IF(C67=D67,"",D67-C67)</f>
        <v/>
      </c>
      <c r="G67" s="23"/>
      <c r="H67" s="19" t="s">
        <v>58</v>
      </c>
      <c r="I67" s="24"/>
      <c r="M67" s="25"/>
      <c r="W67" s="25"/>
      <c r="AG67" s="25"/>
      <c r="AQ67" s="25"/>
      <c r="BA67" s="25"/>
      <c r="BK67" s="25"/>
      <c r="BU67" s="25"/>
      <c r="CE67" s="25"/>
      <c r="CO67" s="25"/>
      <c r="CY67" s="25"/>
      <c r="DI67" s="25"/>
      <c r="DS67" s="25"/>
      <c r="EC67" s="25"/>
      <c r="EM67" s="25"/>
      <c r="EW67" s="25"/>
      <c r="EZ67" s="26" t="str">
        <f aca="false">IF(AND(D67&gt;=2026,C67&lt;D67),"▶","")</f>
        <v/>
      </c>
    </row>
    <row r="68" customFormat="false" ht="12.75" hidden="false" customHeight="true" outlineLevel="0" collapsed="false">
      <c r="A68" s="19" t="s">
        <v>56</v>
      </c>
      <c r="B68" s="27" t="s">
        <v>117</v>
      </c>
      <c r="C68" s="21" t="n">
        <v>1928</v>
      </c>
      <c r="D68" s="21" t="n">
        <v>1928</v>
      </c>
      <c r="E68" s="22" t="str">
        <f aca="false">IF(C68=D68,"событие",IF(D68&gt;=2026,IF(A68="Личности","жив","существует"),"в прошлом"))</f>
        <v>событие</v>
      </c>
      <c r="F68" s="23" t="str">
        <f aca="false">IF(C68=D68,"",D68-C68)</f>
        <v/>
      </c>
      <c r="G68" s="23"/>
      <c r="H68" s="19" t="s">
        <v>62</v>
      </c>
      <c r="I68" s="24"/>
      <c r="M68" s="25"/>
      <c r="W68" s="25"/>
      <c r="AG68" s="25"/>
      <c r="AQ68" s="25"/>
      <c r="BA68" s="25"/>
      <c r="BK68" s="25"/>
      <c r="BU68" s="25"/>
      <c r="CE68" s="25"/>
      <c r="CO68" s="25"/>
      <c r="CY68" s="25"/>
      <c r="DI68" s="25"/>
      <c r="DS68" s="25"/>
      <c r="EC68" s="25"/>
      <c r="EM68" s="25"/>
      <c r="EW68" s="25"/>
      <c r="EZ68" s="12" t="str">
        <f aca="false">IF(AND(D68&gt;=2026,C68&lt;D68),"▶","")</f>
        <v/>
      </c>
    </row>
    <row r="69" customFormat="false" ht="12.75" hidden="false" customHeight="true" outlineLevel="0" collapsed="false">
      <c r="A69" s="19" t="s">
        <v>56</v>
      </c>
      <c r="B69" s="27" t="s">
        <v>118</v>
      </c>
      <c r="C69" s="21" t="n">
        <v>1932</v>
      </c>
      <c r="D69" s="21" t="n">
        <v>1932</v>
      </c>
      <c r="E69" s="22" t="str">
        <f aca="false">IF(C69=D69,"событие",IF(D69&gt;=2026,IF(A69="Личности","жив","существует"),"в прошлом"))</f>
        <v>событие</v>
      </c>
      <c r="F69" s="23" t="str">
        <f aca="false">IF(C69=D69,"",D69-C69)</f>
        <v/>
      </c>
      <c r="G69" s="23"/>
      <c r="H69" s="19" t="s">
        <v>62</v>
      </c>
      <c r="I69" s="24"/>
      <c r="M69" s="25"/>
      <c r="W69" s="25"/>
      <c r="AG69" s="25"/>
      <c r="AQ69" s="25"/>
      <c r="BA69" s="25"/>
      <c r="BK69" s="25"/>
      <c r="BU69" s="25"/>
      <c r="CE69" s="25"/>
      <c r="CO69" s="25"/>
      <c r="CY69" s="25"/>
      <c r="DI69" s="25"/>
      <c r="DS69" s="25"/>
      <c r="EC69" s="25"/>
      <c r="EM69" s="25"/>
      <c r="EW69" s="25"/>
      <c r="EZ69" s="12" t="str">
        <f aca="false">IF(AND(D69&gt;=2026,C69&lt;D69),"▶","")</f>
        <v/>
      </c>
    </row>
    <row r="70" customFormat="false" ht="12.75" hidden="false" customHeight="true" outlineLevel="0" collapsed="false">
      <c r="A70" s="19" t="s">
        <v>56</v>
      </c>
      <c r="B70" s="20" t="s">
        <v>119</v>
      </c>
      <c r="C70" s="21" t="n">
        <v>1947</v>
      </c>
      <c r="D70" s="21" t="n">
        <v>1947</v>
      </c>
      <c r="E70" s="22" t="str">
        <f aca="false">IF(C70=D70,"событие",IF(D70&gt;=2026,IF(A70="Личности","жив","существует"),"в прошлом"))</f>
        <v>событие</v>
      </c>
      <c r="F70" s="23" t="str">
        <f aca="false">IF(C70=D70,"",D70-C70)</f>
        <v/>
      </c>
      <c r="G70" s="23"/>
      <c r="H70" s="19" t="s">
        <v>58</v>
      </c>
      <c r="I70" s="24"/>
      <c r="M70" s="25"/>
      <c r="W70" s="25"/>
      <c r="AG70" s="25"/>
      <c r="AQ70" s="25"/>
      <c r="BA70" s="25"/>
      <c r="BK70" s="25"/>
      <c r="BU70" s="25"/>
      <c r="CE70" s="25"/>
      <c r="CO70" s="25"/>
      <c r="CY70" s="25"/>
      <c r="DI70" s="25"/>
      <c r="DS70" s="25"/>
      <c r="EC70" s="25"/>
      <c r="EM70" s="25"/>
      <c r="EW70" s="25"/>
      <c r="EZ70" s="26" t="str">
        <f aca="false">IF(AND(D70&gt;=2026,C70&lt;D70),"▶","")</f>
        <v/>
      </c>
    </row>
    <row r="71" customFormat="false" ht="12.75" hidden="false" customHeight="true" outlineLevel="0" collapsed="false">
      <c r="A71" s="19" t="s">
        <v>56</v>
      </c>
      <c r="B71" s="27" t="s">
        <v>120</v>
      </c>
      <c r="C71" s="21" t="n">
        <v>1969</v>
      </c>
      <c r="D71" s="21" t="n">
        <v>1969</v>
      </c>
      <c r="E71" s="22" t="str">
        <f aca="false">IF(C71=D71,"событие",IF(D71&gt;=2026,IF(A71="Личности","жив","существует"),"в прошлом"))</f>
        <v>событие</v>
      </c>
      <c r="F71" s="23" t="str">
        <f aca="false">IF(C71=D71,"",D71-C71)</f>
        <v/>
      </c>
      <c r="G71" s="23"/>
      <c r="H71" s="19" t="s">
        <v>62</v>
      </c>
      <c r="I71" s="24"/>
      <c r="M71" s="25"/>
      <c r="W71" s="25"/>
      <c r="AG71" s="25"/>
      <c r="AQ71" s="25"/>
      <c r="BA71" s="25"/>
      <c r="BK71" s="25"/>
      <c r="BU71" s="25"/>
      <c r="CE71" s="25"/>
      <c r="CO71" s="25"/>
      <c r="CY71" s="25"/>
      <c r="DI71" s="25"/>
      <c r="DS71" s="25"/>
      <c r="EC71" s="25"/>
      <c r="EM71" s="25"/>
      <c r="EW71" s="25"/>
      <c r="EZ71" s="12" t="str">
        <f aca="false">IF(AND(D71&gt;=2026,C71&lt;D71),"▶","")</f>
        <v/>
      </c>
    </row>
    <row r="72" customFormat="false" ht="12.75" hidden="false" customHeight="true" outlineLevel="0" collapsed="false">
      <c r="A72" s="19" t="s">
        <v>56</v>
      </c>
      <c r="B72" s="20" t="s">
        <v>121</v>
      </c>
      <c r="C72" s="21" t="n">
        <v>1979</v>
      </c>
      <c r="D72" s="21" t="n">
        <v>1979</v>
      </c>
      <c r="E72" s="22" t="str">
        <f aca="false">IF(C72=D72,"событие",IF(D72&gt;=2026,IF(A72="Личности","жив","существует"),"в прошлом"))</f>
        <v>событие</v>
      </c>
      <c r="F72" s="23" t="str">
        <f aca="false">IF(C72=D72,"",D72-C72)</f>
        <v/>
      </c>
      <c r="G72" s="23"/>
      <c r="H72" s="19" t="s">
        <v>58</v>
      </c>
      <c r="I72" s="24"/>
      <c r="M72" s="25"/>
      <c r="W72" s="25"/>
      <c r="AG72" s="25"/>
      <c r="AQ72" s="25"/>
      <c r="BA72" s="25"/>
      <c r="BK72" s="25"/>
      <c r="BU72" s="25"/>
      <c r="CE72" s="25"/>
      <c r="CO72" s="25"/>
      <c r="CY72" s="25"/>
      <c r="DI72" s="25"/>
      <c r="DS72" s="25"/>
      <c r="EC72" s="25"/>
      <c r="EM72" s="25"/>
      <c r="EW72" s="25"/>
      <c r="EZ72" s="26" t="str">
        <f aca="false">IF(AND(D72&gt;=2026,C72&lt;D72),"▶","")</f>
        <v/>
      </c>
    </row>
    <row r="73" customFormat="false" ht="12.75" hidden="false" customHeight="true" outlineLevel="0" collapsed="false">
      <c r="A73" s="19" t="s">
        <v>56</v>
      </c>
      <c r="B73" s="27" t="s">
        <v>122</v>
      </c>
      <c r="C73" s="21" t="n">
        <v>1990</v>
      </c>
      <c r="D73" s="21" t="n">
        <v>1990</v>
      </c>
      <c r="E73" s="22" t="str">
        <f aca="false">IF(C73=D73,"событие",IF(D73&gt;=2026,IF(A73="Личности","жив","существует"),"в прошлом"))</f>
        <v>событие</v>
      </c>
      <c r="F73" s="23" t="str">
        <f aca="false">IF(C73=D73,"",D73-C73)</f>
        <v/>
      </c>
      <c r="G73" s="23"/>
      <c r="H73" s="19" t="s">
        <v>62</v>
      </c>
      <c r="I73" s="24"/>
      <c r="M73" s="25"/>
      <c r="W73" s="25"/>
      <c r="AG73" s="25"/>
      <c r="AQ73" s="25"/>
      <c r="BA73" s="25"/>
      <c r="BK73" s="25"/>
      <c r="BU73" s="25"/>
      <c r="CE73" s="25"/>
      <c r="CO73" s="25"/>
      <c r="CY73" s="25"/>
      <c r="DI73" s="25"/>
      <c r="DS73" s="25"/>
      <c r="EC73" s="25"/>
      <c r="EM73" s="25"/>
      <c r="EW73" s="25"/>
      <c r="EZ73" s="12" t="str">
        <f aca="false">IF(AND(D73&gt;=2026,C73&lt;D73),"▶","")</f>
        <v/>
      </c>
    </row>
    <row r="74" customFormat="false" ht="12.75" hidden="false" customHeight="true" outlineLevel="0" collapsed="false">
      <c r="A74" s="19" t="s">
        <v>56</v>
      </c>
      <c r="B74" s="27" t="s">
        <v>123</v>
      </c>
      <c r="C74" s="21" t="n">
        <v>2001</v>
      </c>
      <c r="D74" s="21" t="n">
        <v>2001</v>
      </c>
      <c r="E74" s="22" t="str">
        <f aca="false">IF(C74=D74,"событие",IF(D74&gt;=2026,IF(A74="Личности","жив","существует"),"в прошлом"))</f>
        <v>событие</v>
      </c>
      <c r="F74" s="23" t="str">
        <f aca="false">IF(C74=D74,"",D74-C74)</f>
        <v/>
      </c>
      <c r="G74" s="23"/>
      <c r="H74" s="19" t="s">
        <v>62</v>
      </c>
      <c r="I74" s="24"/>
      <c r="M74" s="25"/>
      <c r="W74" s="25"/>
      <c r="AG74" s="25"/>
      <c r="AQ74" s="25"/>
      <c r="BA74" s="25"/>
      <c r="BK74" s="25"/>
      <c r="BU74" s="25"/>
      <c r="CE74" s="25"/>
      <c r="CO74" s="25"/>
      <c r="CY74" s="25"/>
      <c r="DI74" s="25"/>
      <c r="DS74" s="25"/>
      <c r="EC74" s="25"/>
      <c r="EM74" s="25"/>
      <c r="EW74" s="25"/>
      <c r="EZ74" s="12" t="str">
        <f aca="false">IF(AND(D74&gt;=2026,C74&lt;D74),"▶","")</f>
        <v/>
      </c>
    </row>
    <row r="75" customFormat="false" ht="12.75" hidden="false" customHeight="true" outlineLevel="0" collapsed="false">
      <c r="A75" s="19" t="s">
        <v>56</v>
      </c>
      <c r="B75" s="27" t="s">
        <v>124</v>
      </c>
      <c r="C75" s="21" t="n">
        <v>2004</v>
      </c>
      <c r="D75" s="21" t="n">
        <v>2004</v>
      </c>
      <c r="E75" s="22" t="str">
        <f aca="false">IF(C75=D75,"событие",IF(D75&gt;=2026,IF(A75="Личности","жив","существует"),"в прошлом"))</f>
        <v>событие</v>
      </c>
      <c r="F75" s="23" t="str">
        <f aca="false">IF(C75=D75,"",D75-C75)</f>
        <v/>
      </c>
      <c r="G75" s="23"/>
      <c r="H75" s="19" t="s">
        <v>62</v>
      </c>
      <c r="I75" s="24"/>
      <c r="M75" s="25"/>
      <c r="W75" s="25"/>
      <c r="AG75" s="25"/>
      <c r="AQ75" s="25"/>
      <c r="BA75" s="25"/>
      <c r="BK75" s="25"/>
      <c r="BU75" s="25"/>
      <c r="CE75" s="25"/>
      <c r="CO75" s="25"/>
      <c r="CY75" s="25"/>
      <c r="DI75" s="25"/>
      <c r="DS75" s="25"/>
      <c r="EC75" s="25"/>
      <c r="EM75" s="25"/>
      <c r="EW75" s="25"/>
      <c r="EZ75" s="12" t="str">
        <f aca="false">IF(AND(D75&gt;=2026,C75&lt;D75),"▶","")</f>
        <v/>
      </c>
    </row>
    <row r="76" customFormat="false" ht="12.75" hidden="false" customHeight="true" outlineLevel="0" collapsed="false">
      <c r="A76" s="19" t="s">
        <v>56</v>
      </c>
      <c r="B76" s="27" t="s">
        <v>125</v>
      </c>
      <c r="C76" s="21" t="n">
        <v>2011</v>
      </c>
      <c r="D76" s="21" t="n">
        <v>2011</v>
      </c>
      <c r="E76" s="22" t="str">
        <f aca="false">IF(C76=D76,"событие",IF(D76&gt;=2026,IF(A76="Личности","жив","существует"),"в прошлом"))</f>
        <v>событие</v>
      </c>
      <c r="F76" s="23" t="str">
        <f aca="false">IF(C76=D76,"",D76-C76)</f>
        <v/>
      </c>
      <c r="G76" s="23"/>
      <c r="H76" s="19" t="s">
        <v>62</v>
      </c>
      <c r="I76" s="24"/>
      <c r="M76" s="25"/>
      <c r="W76" s="25"/>
      <c r="AG76" s="25"/>
      <c r="AQ76" s="25"/>
      <c r="BA76" s="25"/>
      <c r="BK76" s="25"/>
      <c r="BU76" s="25"/>
      <c r="CE76" s="25"/>
      <c r="CO76" s="25"/>
      <c r="CY76" s="25"/>
      <c r="DI76" s="25"/>
      <c r="DS76" s="25"/>
      <c r="EC76" s="25"/>
      <c r="EM76" s="25"/>
      <c r="EW76" s="25"/>
      <c r="EZ76" s="12" t="str">
        <f aca="false">IF(AND(D76&gt;=2026,C76&lt;D76),"▶","")</f>
        <v/>
      </c>
    </row>
    <row r="77" customFormat="false" ht="12.75" hidden="false" customHeight="true" outlineLevel="0" collapsed="false">
      <c r="A77" s="19" t="s">
        <v>56</v>
      </c>
      <c r="B77" s="27" t="s">
        <v>126</v>
      </c>
      <c r="C77" s="21" t="n">
        <v>2014</v>
      </c>
      <c r="D77" s="21" t="n">
        <v>2014</v>
      </c>
      <c r="E77" s="22" t="str">
        <f aca="false">IF(C77=D77,"событие",IF(D77&gt;=2026,IF(A77="Личности","жив","существует"),"в прошлом"))</f>
        <v>событие</v>
      </c>
      <c r="F77" s="23" t="str">
        <f aca="false">IF(C77=D77,"",D77-C77)</f>
        <v/>
      </c>
      <c r="G77" s="23"/>
      <c r="H77" s="19" t="s">
        <v>62</v>
      </c>
      <c r="I77" s="24"/>
      <c r="M77" s="25"/>
      <c r="W77" s="25"/>
      <c r="AG77" s="25"/>
      <c r="AQ77" s="25"/>
      <c r="BA77" s="25"/>
      <c r="BK77" s="25"/>
      <c r="BU77" s="25"/>
      <c r="CE77" s="25"/>
      <c r="CO77" s="25"/>
      <c r="CY77" s="25"/>
      <c r="DI77" s="25"/>
      <c r="DS77" s="25"/>
      <c r="EC77" s="25"/>
      <c r="EM77" s="25"/>
      <c r="EW77" s="25"/>
      <c r="EZ77" s="12" t="str">
        <f aca="false">IF(AND(D77&gt;=2026,C77&lt;D77),"▶","")</f>
        <v/>
      </c>
    </row>
    <row r="78" customFormat="false" ht="12.75" hidden="false" customHeight="true" outlineLevel="0" collapsed="false">
      <c r="A78" s="19" t="s">
        <v>56</v>
      </c>
      <c r="B78" s="27" t="s">
        <v>127</v>
      </c>
      <c r="C78" s="21" t="n">
        <v>2021</v>
      </c>
      <c r="D78" s="21" t="n">
        <v>2021</v>
      </c>
      <c r="E78" s="22" t="str">
        <f aca="false">IF(C78=D78,"событие",IF(D78&gt;=2026,IF(A78="Личности","жив","существует"),"в прошлом"))</f>
        <v>событие</v>
      </c>
      <c r="F78" s="23" t="str">
        <f aca="false">IF(C78=D78,"",D78-C78)</f>
        <v/>
      </c>
      <c r="G78" s="23"/>
      <c r="H78" s="19" t="s">
        <v>62</v>
      </c>
      <c r="I78" s="24"/>
      <c r="M78" s="25"/>
      <c r="W78" s="25"/>
      <c r="AG78" s="25"/>
      <c r="AQ78" s="25"/>
      <c r="BA78" s="25"/>
      <c r="BK78" s="25"/>
      <c r="BU78" s="25"/>
      <c r="CE78" s="25"/>
      <c r="CO78" s="25"/>
      <c r="CY78" s="25"/>
      <c r="DI78" s="25"/>
      <c r="DS78" s="25"/>
      <c r="EC78" s="25"/>
      <c r="EM78" s="25"/>
      <c r="EW78" s="25"/>
      <c r="EZ78" s="12" t="str">
        <f aca="false">IF(AND(D78&gt;=2026,C78&lt;D78),"▶","")</f>
        <v/>
      </c>
    </row>
    <row r="79" customFormat="false" ht="12.75" hidden="false" customHeight="true" outlineLevel="0" collapsed="false">
      <c r="A79" s="19" t="s">
        <v>56</v>
      </c>
      <c r="B79" s="27" t="s">
        <v>128</v>
      </c>
      <c r="C79" s="21" t="n">
        <v>2023</v>
      </c>
      <c r="D79" s="21" t="n">
        <v>2023</v>
      </c>
      <c r="E79" s="22" t="str">
        <f aca="false">IF(C79=D79,"событие",IF(D79&gt;=2026,IF(A79="Личности","жив","существует"),"в прошлом"))</f>
        <v>событие</v>
      </c>
      <c r="F79" s="23" t="str">
        <f aca="false">IF(C79=D79,"",D79-C79)</f>
        <v/>
      </c>
      <c r="G79" s="23"/>
      <c r="H79" s="19" t="s">
        <v>62</v>
      </c>
      <c r="I79" s="24"/>
      <c r="M79" s="25"/>
      <c r="W79" s="25"/>
      <c r="AG79" s="25"/>
      <c r="AQ79" s="25"/>
      <c r="BA79" s="25"/>
      <c r="BK79" s="25"/>
      <c r="BU79" s="25"/>
      <c r="CE79" s="25"/>
      <c r="CO79" s="25"/>
      <c r="CY79" s="25"/>
      <c r="DI79" s="25"/>
      <c r="DS79" s="25"/>
      <c r="EC79" s="25"/>
      <c r="EM79" s="25"/>
      <c r="EW79" s="25"/>
      <c r="EZ79" s="12" t="str">
        <f aca="false">IF(AND(D79&gt;=2026,C79&lt;D79),"▶","")</f>
        <v/>
      </c>
    </row>
    <row r="80" customFormat="false" ht="12.75" hidden="false" customHeight="true" outlineLevel="0" collapsed="false">
      <c r="A80" s="19" t="s">
        <v>56</v>
      </c>
      <c r="B80" s="27" t="s">
        <v>129</v>
      </c>
      <c r="C80" s="21" t="n">
        <v>2024</v>
      </c>
      <c r="D80" s="21" t="n">
        <v>2024</v>
      </c>
      <c r="E80" s="22" t="str">
        <f aca="false">IF(C80=D80,"событие",IF(D80&gt;=2026,IF(A80="Личности","жив","существует"),"в прошлом"))</f>
        <v>событие</v>
      </c>
      <c r="F80" s="23" t="str">
        <f aca="false">IF(C80=D80,"",D80-C80)</f>
        <v/>
      </c>
      <c r="G80" s="23"/>
      <c r="H80" s="19" t="s">
        <v>62</v>
      </c>
      <c r="I80" s="24"/>
      <c r="M80" s="25"/>
      <c r="W80" s="25"/>
      <c r="AG80" s="25"/>
      <c r="AQ80" s="25"/>
      <c r="BA80" s="25"/>
      <c r="BK80" s="25"/>
      <c r="BU80" s="25"/>
      <c r="CE80" s="25"/>
      <c r="CO80" s="25"/>
      <c r="CY80" s="25"/>
      <c r="DI80" s="25"/>
      <c r="DS80" s="25"/>
      <c r="EC80" s="25"/>
      <c r="EM80" s="25"/>
      <c r="EW80" s="25"/>
      <c r="EZ80" s="12" t="str">
        <f aca="false">IF(AND(D80&gt;=2026,C80&lt;D80),"▶","")</f>
        <v/>
      </c>
    </row>
    <row r="81" customFormat="false" ht="12.75" hidden="false" customHeight="true" outlineLevel="0" collapsed="false">
      <c r="A81" s="19" t="s">
        <v>56</v>
      </c>
      <c r="B81" s="27" t="s">
        <v>130</v>
      </c>
      <c r="C81" s="21" t="n">
        <v>2025</v>
      </c>
      <c r="D81" s="21" t="n">
        <v>2025</v>
      </c>
      <c r="E81" s="22" t="str">
        <f aca="false">IF(C81=D81,"событие",IF(D81&gt;=2026,IF(A81="Личности","жив","существует"),"в прошлом"))</f>
        <v>событие</v>
      </c>
      <c r="F81" s="23" t="str">
        <f aca="false">IF(C81=D81,"",D81-C81)</f>
        <v/>
      </c>
      <c r="G81" s="23"/>
      <c r="H81" s="19" t="s">
        <v>62</v>
      </c>
      <c r="I81" s="24"/>
      <c r="M81" s="25"/>
      <c r="W81" s="25"/>
      <c r="AG81" s="25"/>
      <c r="AQ81" s="25"/>
      <c r="BA81" s="25"/>
      <c r="BK81" s="25"/>
      <c r="BU81" s="25"/>
      <c r="CE81" s="25"/>
      <c r="CO81" s="25"/>
      <c r="CY81" s="25"/>
      <c r="DI81" s="25"/>
      <c r="DS81" s="25"/>
      <c r="EC81" s="25"/>
      <c r="EM81" s="25"/>
      <c r="EW81" s="25"/>
      <c r="EZ81" s="12" t="str">
        <f aca="false">IF(AND(D81&gt;=2026,C81&lt;D81),"▶","")</f>
        <v/>
      </c>
    </row>
    <row r="82" customFormat="false" ht="12.75" hidden="false" customHeight="true" outlineLevel="0" collapsed="false">
      <c r="A82" s="19" t="s">
        <v>56</v>
      </c>
      <c r="B82" s="20" t="s">
        <v>131</v>
      </c>
      <c r="C82" s="21" t="n">
        <v>2026</v>
      </c>
      <c r="D82" s="21" t="n">
        <v>2026</v>
      </c>
      <c r="E82" s="22" t="str">
        <f aca="false">IF(C82=D82,"событие",IF(D82&gt;=2026,IF(A82="Личности","жив","существует"),"в прошлом"))</f>
        <v>событие</v>
      </c>
      <c r="F82" s="23" t="str">
        <f aca="false">IF(C82=D82,"",D82-C82)</f>
        <v/>
      </c>
      <c r="G82" s="23"/>
      <c r="H82" s="19" t="s">
        <v>58</v>
      </c>
      <c r="I82" s="24"/>
      <c r="M82" s="25"/>
      <c r="W82" s="25"/>
      <c r="AG82" s="25"/>
      <c r="AQ82" s="25"/>
      <c r="BA82" s="25"/>
      <c r="BK82" s="25"/>
      <c r="BU82" s="25"/>
      <c r="CE82" s="25"/>
      <c r="CO82" s="25"/>
      <c r="CY82" s="25"/>
      <c r="DI82" s="25"/>
      <c r="DS82" s="25"/>
      <c r="EC82" s="25"/>
      <c r="EM82" s="25"/>
      <c r="EW82" s="25"/>
      <c r="EZ82" s="26" t="str">
        <f aca="false">IF(AND(D82&gt;=2026,C82&lt;D82),"▶","")</f>
        <v/>
      </c>
    </row>
    <row r="83" customFormat="false" ht="21.75" hidden="false" customHeight="true" outlineLevel="0" collapsed="false">
      <c r="A83" s="28" t="s">
        <v>132</v>
      </c>
      <c r="B83" s="29" t="s">
        <v>133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1"/>
      <c r="N83" s="30"/>
      <c r="O83" s="30"/>
      <c r="P83" s="30"/>
      <c r="Q83" s="30"/>
      <c r="R83" s="30"/>
      <c r="S83" s="30"/>
      <c r="T83" s="30"/>
      <c r="U83" s="30"/>
      <c r="V83" s="30"/>
      <c r="W83" s="31"/>
      <c r="X83" s="30"/>
      <c r="Y83" s="30"/>
      <c r="Z83" s="30"/>
      <c r="AA83" s="30"/>
      <c r="AB83" s="30"/>
      <c r="AC83" s="30"/>
      <c r="AD83" s="30"/>
      <c r="AE83" s="30"/>
      <c r="AF83" s="30"/>
      <c r="AG83" s="31"/>
      <c r="AH83" s="30"/>
      <c r="AI83" s="30"/>
      <c r="AJ83" s="30"/>
      <c r="AK83" s="30"/>
      <c r="AL83" s="30"/>
      <c r="AM83" s="30"/>
      <c r="AN83" s="30"/>
      <c r="AO83" s="30"/>
      <c r="AP83" s="30"/>
      <c r="AQ83" s="31"/>
      <c r="AR83" s="30"/>
      <c r="AS83" s="30"/>
      <c r="AT83" s="30"/>
      <c r="AU83" s="30"/>
      <c r="AV83" s="30"/>
      <c r="AW83" s="30"/>
      <c r="AX83" s="30"/>
      <c r="AY83" s="30"/>
      <c r="AZ83" s="30"/>
      <c r="BA83" s="31"/>
      <c r="BB83" s="30"/>
      <c r="BC83" s="30"/>
      <c r="BD83" s="30"/>
      <c r="BE83" s="30"/>
      <c r="BF83" s="30"/>
      <c r="BG83" s="30"/>
      <c r="BH83" s="30"/>
      <c r="BI83" s="30"/>
      <c r="BJ83" s="30"/>
      <c r="BK83" s="31"/>
      <c r="BL83" s="30"/>
      <c r="BM83" s="30"/>
      <c r="BN83" s="30"/>
      <c r="BO83" s="30"/>
      <c r="BP83" s="30"/>
      <c r="BQ83" s="30"/>
      <c r="BR83" s="30"/>
      <c r="BS83" s="30"/>
      <c r="BT83" s="30"/>
      <c r="BU83" s="31"/>
      <c r="BV83" s="30"/>
      <c r="BW83" s="30"/>
      <c r="BX83" s="30"/>
      <c r="BY83" s="30"/>
      <c r="BZ83" s="30"/>
      <c r="CA83" s="30"/>
      <c r="CB83" s="30"/>
      <c r="CC83" s="30"/>
      <c r="CD83" s="30"/>
      <c r="CE83" s="31"/>
      <c r="CF83" s="30"/>
      <c r="CG83" s="30"/>
      <c r="CH83" s="30"/>
      <c r="CI83" s="30"/>
      <c r="CJ83" s="30"/>
      <c r="CK83" s="30"/>
      <c r="CL83" s="30"/>
      <c r="CM83" s="30"/>
      <c r="CN83" s="30"/>
      <c r="CO83" s="31"/>
      <c r="CP83" s="30"/>
      <c r="CQ83" s="30"/>
      <c r="CR83" s="30"/>
      <c r="CS83" s="30"/>
      <c r="CT83" s="30"/>
      <c r="CU83" s="30"/>
      <c r="CV83" s="30"/>
      <c r="CW83" s="30"/>
      <c r="CX83" s="30"/>
      <c r="CY83" s="31"/>
      <c r="CZ83" s="30"/>
      <c r="DA83" s="30"/>
      <c r="DB83" s="30"/>
      <c r="DC83" s="30"/>
      <c r="DD83" s="30"/>
      <c r="DE83" s="30"/>
      <c r="DF83" s="30"/>
      <c r="DG83" s="30"/>
      <c r="DH83" s="30"/>
      <c r="DI83" s="31"/>
      <c r="DJ83" s="30"/>
      <c r="DK83" s="30"/>
      <c r="DL83" s="30"/>
      <c r="DM83" s="30"/>
      <c r="DN83" s="30"/>
      <c r="DO83" s="30"/>
      <c r="DP83" s="30"/>
      <c r="DQ83" s="30"/>
      <c r="DR83" s="30"/>
      <c r="DS83" s="31"/>
      <c r="DT83" s="30"/>
      <c r="DU83" s="30"/>
      <c r="DV83" s="30"/>
      <c r="DW83" s="30"/>
      <c r="DX83" s="30"/>
      <c r="DY83" s="30"/>
      <c r="DZ83" s="30"/>
      <c r="EA83" s="30"/>
      <c r="EB83" s="30"/>
      <c r="EC83" s="31"/>
      <c r="ED83" s="30"/>
      <c r="EE83" s="30"/>
      <c r="EF83" s="30"/>
      <c r="EG83" s="30"/>
      <c r="EH83" s="30"/>
      <c r="EI83" s="30"/>
      <c r="EJ83" s="30"/>
      <c r="EK83" s="30"/>
      <c r="EL83" s="30"/>
      <c r="EM83" s="31"/>
      <c r="EN83" s="30"/>
      <c r="EO83" s="30"/>
      <c r="EP83" s="30"/>
      <c r="EQ83" s="30"/>
      <c r="ER83" s="30"/>
      <c r="ES83" s="30"/>
      <c r="ET83" s="30"/>
      <c r="EU83" s="30"/>
      <c r="EV83" s="30"/>
      <c r="EW83" s="31"/>
      <c r="EX83" s="30"/>
      <c r="EY83" s="30"/>
      <c r="EZ83" s="30"/>
    </row>
    <row r="84" customFormat="false" ht="12.75" hidden="false" customHeight="true" outlineLevel="0" collapsed="false">
      <c r="A84" s="19" t="s">
        <v>134</v>
      </c>
      <c r="B84" s="27" t="s">
        <v>135</v>
      </c>
      <c r="C84" s="21" t="n">
        <v>622</v>
      </c>
      <c r="D84" s="21" t="n">
        <v>632</v>
      </c>
      <c r="E84" s="22" t="str">
        <f aca="false">IF(C84=D84,"событие",IF(D84&gt;=2026,IF(A84="Личности","жив","существует"),"в прошлом"))</f>
        <v>в прошлом</v>
      </c>
      <c r="F84" s="23" t="n">
        <f aca="false">IF(C84=D84,"",D84-C84)</f>
        <v>10</v>
      </c>
      <c r="G84" s="23"/>
      <c r="H84" s="19" t="s">
        <v>136</v>
      </c>
      <c r="I84" s="24"/>
      <c r="M84" s="25"/>
      <c r="W84" s="25"/>
      <c r="AG84" s="25"/>
      <c r="AQ84" s="25"/>
      <c r="BA84" s="25"/>
      <c r="BK84" s="25"/>
      <c r="BU84" s="25"/>
      <c r="CE84" s="25"/>
      <c r="CO84" s="25"/>
      <c r="CY84" s="25"/>
      <c r="DI84" s="25"/>
      <c r="DS84" s="25"/>
      <c r="EC84" s="25"/>
      <c r="EM84" s="25"/>
      <c r="EW84" s="25"/>
      <c r="EZ84" s="12" t="str">
        <f aca="false">IF(AND(D84&gt;=2026,C84&lt;D84),"▶","")</f>
        <v/>
      </c>
    </row>
    <row r="85" customFormat="false" ht="12.75" hidden="false" customHeight="true" outlineLevel="0" collapsed="false">
      <c r="A85" s="19" t="s">
        <v>134</v>
      </c>
      <c r="B85" s="27" t="s">
        <v>137</v>
      </c>
      <c r="C85" s="21" t="n">
        <v>632</v>
      </c>
      <c r="D85" s="21" t="n">
        <v>661</v>
      </c>
      <c r="E85" s="22" t="str">
        <f aca="false">IF(C85=D85,"событие",IF(D85&gt;=2026,IF(A85="Личности","жив","существует"),"в прошлом"))</f>
        <v>в прошлом</v>
      </c>
      <c r="F85" s="23" t="n">
        <f aca="false">IF(C85=D85,"",D85-C85)</f>
        <v>29</v>
      </c>
      <c r="G85" s="23"/>
      <c r="H85" s="19" t="s">
        <v>136</v>
      </c>
      <c r="I85" s="24"/>
      <c r="M85" s="25"/>
      <c r="W85" s="25"/>
      <c r="AG85" s="25"/>
      <c r="AQ85" s="25"/>
      <c r="BA85" s="25"/>
      <c r="BK85" s="25"/>
      <c r="BU85" s="25"/>
      <c r="CE85" s="25"/>
      <c r="CO85" s="25"/>
      <c r="CY85" s="25"/>
      <c r="DI85" s="25"/>
      <c r="DS85" s="25"/>
      <c r="EC85" s="25"/>
      <c r="EM85" s="25"/>
      <c r="EW85" s="25"/>
      <c r="EZ85" s="12" t="str">
        <f aca="false">IF(AND(D85&gt;=2026,C85&lt;D85),"▶","")</f>
        <v/>
      </c>
    </row>
    <row r="86" customFormat="false" ht="12.75" hidden="false" customHeight="true" outlineLevel="0" collapsed="false">
      <c r="A86" s="19" t="s">
        <v>134</v>
      </c>
      <c r="B86" s="27" t="s">
        <v>138</v>
      </c>
      <c r="C86" s="21" t="n">
        <v>661</v>
      </c>
      <c r="D86" s="21" t="n">
        <v>750</v>
      </c>
      <c r="E86" s="22" t="str">
        <f aca="false">IF(C86=D86,"событие",IF(D86&gt;=2026,IF(A86="Личности","жив","существует"),"в прошлом"))</f>
        <v>в прошлом</v>
      </c>
      <c r="F86" s="23" t="n">
        <f aca="false">IF(C86=D86,"",D86-C86)</f>
        <v>89</v>
      </c>
      <c r="G86" s="23"/>
      <c r="H86" s="19" t="s">
        <v>139</v>
      </c>
      <c r="I86" s="24"/>
      <c r="M86" s="25"/>
      <c r="W86" s="25"/>
      <c r="AG86" s="25"/>
      <c r="AQ86" s="25"/>
      <c r="BA86" s="25"/>
      <c r="BK86" s="25"/>
      <c r="BU86" s="25"/>
      <c r="CE86" s="25"/>
      <c r="CO86" s="25"/>
      <c r="CY86" s="25"/>
      <c r="DI86" s="25"/>
      <c r="DS86" s="25"/>
      <c r="EC86" s="25"/>
      <c r="EM86" s="25"/>
      <c r="EW86" s="25"/>
      <c r="EZ86" s="32" t="str">
        <f aca="false">IF(AND(D86&gt;=2026,C86&lt;D86),"▶","")</f>
        <v/>
      </c>
    </row>
    <row r="87" customFormat="false" ht="12.75" hidden="false" customHeight="true" outlineLevel="0" collapsed="false">
      <c r="A87" s="19" t="s">
        <v>134</v>
      </c>
      <c r="B87" s="27" t="s">
        <v>140</v>
      </c>
      <c r="C87" s="21" t="n">
        <v>750</v>
      </c>
      <c r="D87" s="21" t="n">
        <v>1258</v>
      </c>
      <c r="E87" s="22" t="str">
        <f aca="false">IF(C87=D87,"событие",IF(D87&gt;=2026,IF(A87="Личности","жив","существует"),"в прошлом"))</f>
        <v>в прошлом</v>
      </c>
      <c r="F87" s="23" t="n">
        <f aca="false">IF(C87=D87,"",D87-C87)</f>
        <v>508</v>
      </c>
      <c r="G87" s="23"/>
      <c r="H87" s="19" t="s">
        <v>139</v>
      </c>
      <c r="I87" s="24"/>
      <c r="M87" s="25"/>
      <c r="W87" s="25"/>
      <c r="AG87" s="25"/>
      <c r="AQ87" s="25"/>
      <c r="BA87" s="25"/>
      <c r="BK87" s="25"/>
      <c r="BU87" s="25"/>
      <c r="CE87" s="25"/>
      <c r="CO87" s="25"/>
      <c r="CY87" s="25"/>
      <c r="DI87" s="25"/>
      <c r="DS87" s="25"/>
      <c r="EC87" s="25"/>
      <c r="EM87" s="25"/>
      <c r="EW87" s="25"/>
      <c r="EZ87" s="32" t="str">
        <f aca="false">IF(AND(D87&gt;=2026,C87&lt;D87),"▶","")</f>
        <v/>
      </c>
    </row>
    <row r="88" customFormat="false" ht="12.75" hidden="false" customHeight="true" outlineLevel="0" collapsed="false">
      <c r="A88" s="19" t="s">
        <v>134</v>
      </c>
      <c r="B88" s="27" t="s">
        <v>141</v>
      </c>
      <c r="C88" s="21" t="n">
        <v>756</v>
      </c>
      <c r="D88" s="21" t="n">
        <v>1031</v>
      </c>
      <c r="E88" s="22" t="str">
        <f aca="false">IF(C88=D88,"событие",IF(D88&gt;=2026,IF(A88="Личности","жив","существует"),"в прошлом"))</f>
        <v>в прошлом</v>
      </c>
      <c r="F88" s="23" t="n">
        <f aca="false">IF(C88=D88,"",D88-C88)</f>
        <v>275</v>
      </c>
      <c r="G88" s="23"/>
      <c r="H88" s="19" t="s">
        <v>139</v>
      </c>
      <c r="I88" s="24"/>
      <c r="M88" s="25"/>
      <c r="W88" s="25"/>
      <c r="AG88" s="25"/>
      <c r="AQ88" s="25"/>
      <c r="BA88" s="25"/>
      <c r="BK88" s="25"/>
      <c r="BU88" s="25"/>
      <c r="CE88" s="25"/>
      <c r="CO88" s="25"/>
      <c r="CY88" s="25"/>
      <c r="DI88" s="25"/>
      <c r="DS88" s="25"/>
      <c r="EC88" s="25"/>
      <c r="EM88" s="25"/>
      <c r="EW88" s="25"/>
      <c r="EZ88" s="32" t="str">
        <f aca="false">IF(AND(D88&gt;=2026,C88&lt;D88),"▶","")</f>
        <v/>
      </c>
    </row>
    <row r="89" customFormat="false" ht="12.75" hidden="false" customHeight="true" outlineLevel="0" collapsed="false">
      <c r="A89" s="19" t="s">
        <v>134</v>
      </c>
      <c r="B89" s="27" t="s">
        <v>142</v>
      </c>
      <c r="C89" s="21" t="n">
        <v>777</v>
      </c>
      <c r="D89" s="21" t="n">
        <v>909</v>
      </c>
      <c r="E89" s="22" t="str">
        <f aca="false">IF(C89=D89,"событие",IF(D89&gt;=2026,IF(A89="Личности","жив","существует"),"в прошлом"))</f>
        <v>в прошлом</v>
      </c>
      <c r="F89" s="23" t="n">
        <f aca="false">IF(C89=D89,"",D89-C89)</f>
        <v>132</v>
      </c>
      <c r="G89" s="23"/>
      <c r="H89" s="19" t="s">
        <v>143</v>
      </c>
      <c r="I89" s="24"/>
      <c r="M89" s="25"/>
      <c r="W89" s="25"/>
      <c r="AG89" s="25"/>
      <c r="AQ89" s="25"/>
      <c r="BA89" s="25"/>
      <c r="BK89" s="25"/>
      <c r="BU89" s="25"/>
      <c r="CE89" s="25"/>
      <c r="CO89" s="25"/>
      <c r="CY89" s="25"/>
      <c r="DI89" s="25"/>
      <c r="DS89" s="25"/>
      <c r="EC89" s="25"/>
      <c r="EM89" s="25"/>
      <c r="EW89" s="25"/>
      <c r="EZ89" s="33" t="str">
        <f aca="false">IF(AND(D89&gt;=2026,C89&lt;D89),"▶","")</f>
        <v/>
      </c>
    </row>
    <row r="90" customFormat="false" ht="12.75" hidden="false" customHeight="true" outlineLevel="0" collapsed="false">
      <c r="A90" s="19" t="s">
        <v>134</v>
      </c>
      <c r="B90" s="27" t="s">
        <v>144</v>
      </c>
      <c r="C90" s="21" t="n">
        <v>788</v>
      </c>
      <c r="D90" s="21" t="n">
        <v>974</v>
      </c>
      <c r="E90" s="22" t="str">
        <f aca="false">IF(C90=D90,"событие",IF(D90&gt;=2026,IF(A90="Личности","жив","существует"),"в прошлом"))</f>
        <v>в прошлом</v>
      </c>
      <c r="F90" s="23" t="n">
        <f aca="false">IF(C90=D90,"",D90-C90)</f>
        <v>186</v>
      </c>
      <c r="G90" s="23"/>
      <c r="H90" s="19" t="s">
        <v>145</v>
      </c>
      <c r="I90" s="24"/>
      <c r="M90" s="25"/>
      <c r="W90" s="25"/>
      <c r="AG90" s="25"/>
      <c r="AQ90" s="25"/>
      <c r="BA90" s="25"/>
      <c r="BK90" s="25"/>
      <c r="BU90" s="25"/>
      <c r="CE90" s="25"/>
      <c r="CO90" s="25"/>
      <c r="CY90" s="25"/>
      <c r="DI90" s="25"/>
      <c r="DS90" s="25"/>
      <c r="EC90" s="25"/>
      <c r="EM90" s="25"/>
      <c r="EW90" s="25"/>
      <c r="EZ90" s="34" t="str">
        <f aca="false">IF(AND(D90&gt;=2026,C90&lt;D90),"▶","")</f>
        <v/>
      </c>
    </row>
    <row r="91" customFormat="false" ht="12.75" hidden="false" customHeight="true" outlineLevel="0" collapsed="false">
      <c r="A91" s="19" t="s">
        <v>134</v>
      </c>
      <c r="B91" s="27" t="s">
        <v>146</v>
      </c>
      <c r="C91" s="21" t="n">
        <v>800</v>
      </c>
      <c r="D91" s="21" t="n">
        <v>909</v>
      </c>
      <c r="E91" s="22" t="str">
        <f aca="false">IF(C91=D91,"событие",IF(D91&gt;=2026,IF(A91="Личности","жив","существует"),"в прошлом"))</f>
        <v>в прошлом</v>
      </c>
      <c r="F91" s="23" t="n">
        <f aca="false">IF(C91=D91,"",D91-C91)</f>
        <v>109</v>
      </c>
      <c r="G91" s="23"/>
      <c r="H91" s="19" t="s">
        <v>139</v>
      </c>
      <c r="I91" s="24"/>
      <c r="M91" s="25"/>
      <c r="W91" s="25"/>
      <c r="AG91" s="25"/>
      <c r="AQ91" s="25"/>
      <c r="BA91" s="25"/>
      <c r="BK91" s="25"/>
      <c r="BU91" s="25"/>
      <c r="CE91" s="25"/>
      <c r="CO91" s="25"/>
      <c r="CY91" s="25"/>
      <c r="DI91" s="25"/>
      <c r="DS91" s="25"/>
      <c r="EC91" s="25"/>
      <c r="EM91" s="25"/>
      <c r="EW91" s="25"/>
      <c r="EZ91" s="32" t="str">
        <f aca="false">IF(AND(D91&gt;=2026,C91&lt;D91),"▶","")</f>
        <v/>
      </c>
    </row>
    <row r="92" customFormat="false" ht="12.75" hidden="false" customHeight="true" outlineLevel="0" collapsed="false">
      <c r="A92" s="19" t="s">
        <v>134</v>
      </c>
      <c r="B92" s="27" t="s">
        <v>147</v>
      </c>
      <c r="C92" s="21" t="n">
        <v>821</v>
      </c>
      <c r="D92" s="21" t="n">
        <v>873</v>
      </c>
      <c r="E92" s="22" t="str">
        <f aca="false">IF(C92=D92,"событие",IF(D92&gt;=2026,IF(A92="Личности","жив","существует"),"в прошлом"))</f>
        <v>в прошлом</v>
      </c>
      <c r="F92" s="23" t="n">
        <f aca="false">IF(C92=D92,"",D92-C92)</f>
        <v>52</v>
      </c>
      <c r="G92" s="23"/>
      <c r="H92" s="19" t="s">
        <v>139</v>
      </c>
      <c r="I92" s="24"/>
      <c r="M92" s="25"/>
      <c r="W92" s="25"/>
      <c r="AG92" s="25"/>
      <c r="AQ92" s="25"/>
      <c r="BA92" s="25"/>
      <c r="BK92" s="25"/>
      <c r="BU92" s="25"/>
      <c r="CE92" s="25"/>
      <c r="CO92" s="25"/>
      <c r="CY92" s="25"/>
      <c r="DI92" s="25"/>
      <c r="DS92" s="25"/>
      <c r="EC92" s="25"/>
      <c r="EM92" s="25"/>
      <c r="EW92" s="25"/>
      <c r="EZ92" s="32" t="str">
        <f aca="false">IF(AND(D92&gt;=2026,C92&lt;D92),"▶","")</f>
        <v/>
      </c>
    </row>
    <row r="93" customFormat="false" ht="12.75" hidden="false" customHeight="true" outlineLevel="0" collapsed="false">
      <c r="A93" s="19" t="s">
        <v>134</v>
      </c>
      <c r="B93" s="27" t="s">
        <v>148</v>
      </c>
      <c r="C93" s="21" t="n">
        <v>840</v>
      </c>
      <c r="D93" s="21" t="n">
        <v>1212</v>
      </c>
      <c r="E93" s="22" t="str">
        <f aca="false">IF(C93=D93,"событие",IF(D93&gt;=2026,IF(A93="Личности","жив","существует"),"в прошлом"))</f>
        <v>в прошлом</v>
      </c>
      <c r="F93" s="23" t="n">
        <f aca="false">IF(C93=D93,"",D93-C93)</f>
        <v>372</v>
      </c>
      <c r="G93" s="23"/>
      <c r="H93" s="19" t="s">
        <v>139</v>
      </c>
      <c r="I93" s="24"/>
      <c r="M93" s="25"/>
      <c r="W93" s="25"/>
      <c r="AG93" s="25"/>
      <c r="AQ93" s="25"/>
      <c r="BA93" s="25"/>
      <c r="BK93" s="25"/>
      <c r="BU93" s="25"/>
      <c r="CE93" s="25"/>
      <c r="CO93" s="25"/>
      <c r="CY93" s="25"/>
      <c r="DI93" s="25"/>
      <c r="DS93" s="25"/>
      <c r="EC93" s="25"/>
      <c r="EM93" s="25"/>
      <c r="EW93" s="25"/>
      <c r="EZ93" s="32" t="str">
        <f aca="false">IF(AND(D93&gt;=2026,C93&lt;D93),"▶","")</f>
        <v/>
      </c>
    </row>
    <row r="94" customFormat="false" ht="12.75" hidden="false" customHeight="true" outlineLevel="0" collapsed="false">
      <c r="A94" s="19" t="s">
        <v>134</v>
      </c>
      <c r="B94" s="27" t="s">
        <v>149</v>
      </c>
      <c r="C94" s="21" t="n">
        <v>864</v>
      </c>
      <c r="D94" s="21" t="n">
        <v>928</v>
      </c>
      <c r="E94" s="22" t="str">
        <f aca="false">IF(C94=D94,"событие",IF(D94&gt;=2026,IF(A94="Личности","жив","существует"),"в прошлом"))</f>
        <v>в прошлом</v>
      </c>
      <c r="F94" s="23" t="n">
        <f aca="false">IF(C94=D94,"",D94-C94)</f>
        <v>64</v>
      </c>
      <c r="G94" s="23"/>
      <c r="H94" s="19" t="s">
        <v>150</v>
      </c>
      <c r="I94" s="24"/>
      <c r="M94" s="25"/>
      <c r="W94" s="25"/>
      <c r="AG94" s="25"/>
      <c r="AQ94" s="25"/>
      <c r="BA94" s="25"/>
      <c r="BK94" s="25"/>
      <c r="BU94" s="25"/>
      <c r="CE94" s="25"/>
      <c r="CO94" s="25"/>
      <c r="CY94" s="25"/>
      <c r="DI94" s="25"/>
      <c r="DS94" s="25"/>
      <c r="EC94" s="25"/>
      <c r="EM94" s="25"/>
      <c r="EW94" s="25"/>
      <c r="EZ94" s="35" t="str">
        <f aca="false">IF(AND(D94&gt;=2026,C94&lt;D94),"▶","")</f>
        <v/>
      </c>
    </row>
    <row r="95" customFormat="false" ht="12.75" hidden="false" customHeight="true" outlineLevel="0" collapsed="false">
      <c r="A95" s="19" t="s">
        <v>134</v>
      </c>
      <c r="B95" s="27" t="s">
        <v>151</v>
      </c>
      <c r="C95" s="21" t="n">
        <v>868</v>
      </c>
      <c r="D95" s="21" t="n">
        <v>905</v>
      </c>
      <c r="E95" s="22" t="str">
        <f aca="false">IF(C95=D95,"событие",IF(D95&gt;=2026,IF(A95="Личности","жив","существует"),"в прошлом"))</f>
        <v>в прошлом</v>
      </c>
      <c r="F95" s="23" t="n">
        <f aca="false">IF(C95=D95,"",D95-C95)</f>
        <v>37</v>
      </c>
      <c r="G95" s="23"/>
      <c r="H95" s="19" t="s">
        <v>139</v>
      </c>
      <c r="I95" s="24"/>
      <c r="M95" s="25"/>
      <c r="W95" s="25"/>
      <c r="AG95" s="25"/>
      <c r="AQ95" s="25"/>
      <c r="BA95" s="25"/>
      <c r="BK95" s="25"/>
      <c r="BU95" s="25"/>
      <c r="CE95" s="25"/>
      <c r="CO95" s="25"/>
      <c r="CY95" s="25"/>
      <c r="DI95" s="25"/>
      <c r="DS95" s="25"/>
      <c r="EC95" s="25"/>
      <c r="EM95" s="25"/>
      <c r="EW95" s="25"/>
      <c r="EZ95" s="32" t="str">
        <f aca="false">IF(AND(D95&gt;=2026,C95&lt;D95),"▶","")</f>
        <v/>
      </c>
    </row>
    <row r="96" customFormat="false" ht="12.75" hidden="false" customHeight="true" outlineLevel="0" collapsed="false">
      <c r="A96" s="19" t="s">
        <v>134</v>
      </c>
      <c r="B96" s="27" t="s">
        <v>152</v>
      </c>
      <c r="C96" s="21" t="n">
        <v>875</v>
      </c>
      <c r="D96" s="21" t="n">
        <v>999</v>
      </c>
      <c r="E96" s="22" t="str">
        <f aca="false">IF(C96=D96,"событие",IF(D96&gt;=2026,IF(A96="Личности","жив","существует"),"в прошлом"))</f>
        <v>в прошлом</v>
      </c>
      <c r="F96" s="23" t="n">
        <f aca="false">IF(C96=D96,"",D96-C96)</f>
        <v>124</v>
      </c>
      <c r="G96" s="23"/>
      <c r="H96" s="19" t="s">
        <v>139</v>
      </c>
      <c r="I96" s="24"/>
      <c r="M96" s="25"/>
      <c r="W96" s="25"/>
      <c r="AG96" s="25"/>
      <c r="AQ96" s="25"/>
      <c r="BA96" s="25"/>
      <c r="BK96" s="25"/>
      <c r="BU96" s="25"/>
      <c r="CE96" s="25"/>
      <c r="CO96" s="25"/>
      <c r="CY96" s="25"/>
      <c r="DI96" s="25"/>
      <c r="DS96" s="25"/>
      <c r="EC96" s="25"/>
      <c r="EM96" s="25"/>
      <c r="EW96" s="25"/>
      <c r="EZ96" s="32" t="str">
        <f aca="false">IF(AND(D96&gt;=2026,C96&lt;D96),"▶","")</f>
        <v/>
      </c>
    </row>
    <row r="97" customFormat="false" ht="12.75" hidden="false" customHeight="true" outlineLevel="0" collapsed="false">
      <c r="A97" s="19" t="s">
        <v>134</v>
      </c>
      <c r="B97" s="27" t="s">
        <v>153</v>
      </c>
      <c r="C97" s="21" t="n">
        <v>890</v>
      </c>
      <c r="D97" s="21" t="n">
        <v>1004</v>
      </c>
      <c r="E97" s="22" t="str">
        <f aca="false">IF(C97=D97,"событие",IF(D97&gt;=2026,IF(A97="Личности","жив","существует"),"в прошлом"))</f>
        <v>в прошлом</v>
      </c>
      <c r="F97" s="23" t="n">
        <f aca="false">IF(C97=D97,"",D97-C97)</f>
        <v>114</v>
      </c>
      <c r="G97" s="23"/>
      <c r="H97" s="19" t="s">
        <v>150</v>
      </c>
      <c r="I97" s="24"/>
      <c r="M97" s="25"/>
      <c r="W97" s="25"/>
      <c r="AG97" s="25"/>
      <c r="AQ97" s="25"/>
      <c r="BA97" s="25"/>
      <c r="BK97" s="25"/>
      <c r="BU97" s="25"/>
      <c r="CE97" s="25"/>
      <c r="CO97" s="25"/>
      <c r="CY97" s="25"/>
      <c r="DI97" s="25"/>
      <c r="DS97" s="25"/>
      <c r="EC97" s="25"/>
      <c r="EM97" s="25"/>
      <c r="EW97" s="25"/>
      <c r="EZ97" s="35" t="str">
        <f aca="false">IF(AND(D97&gt;=2026,C97&lt;D97),"▶","")</f>
        <v/>
      </c>
    </row>
    <row r="98" customFormat="false" ht="12.75" hidden="false" customHeight="true" outlineLevel="0" collapsed="false">
      <c r="A98" s="19" t="s">
        <v>134</v>
      </c>
      <c r="B98" s="27" t="s">
        <v>154</v>
      </c>
      <c r="C98" s="21" t="n">
        <v>897</v>
      </c>
      <c r="D98" s="21" t="n">
        <v>1962</v>
      </c>
      <c r="E98" s="22" t="str">
        <f aca="false">IF(C98=D98,"событие",IF(D98&gt;=2026,IF(A98="Личности","жив","существует"),"в прошлом"))</f>
        <v>в прошлом</v>
      </c>
      <c r="F98" s="23" t="n">
        <f aca="false">IF(C98=D98,"",D98-C98)</f>
        <v>1065</v>
      </c>
      <c r="G98" s="23"/>
      <c r="H98" s="19" t="s">
        <v>150</v>
      </c>
      <c r="I98" s="24"/>
      <c r="M98" s="25"/>
      <c r="W98" s="25"/>
      <c r="AG98" s="25"/>
      <c r="AQ98" s="25"/>
      <c r="BA98" s="25"/>
      <c r="BK98" s="25"/>
      <c r="BU98" s="25"/>
      <c r="CE98" s="25"/>
      <c r="CO98" s="25"/>
      <c r="CY98" s="25"/>
      <c r="DI98" s="25"/>
      <c r="DS98" s="25"/>
      <c r="EC98" s="25"/>
      <c r="EM98" s="25"/>
      <c r="EW98" s="25"/>
      <c r="EZ98" s="35" t="str">
        <f aca="false">IF(AND(D98&gt;=2026,C98&lt;D98),"▶","")</f>
        <v/>
      </c>
    </row>
    <row r="99" customFormat="false" ht="12.75" hidden="false" customHeight="true" outlineLevel="0" collapsed="false">
      <c r="A99" s="19" t="s">
        <v>134</v>
      </c>
      <c r="B99" s="27" t="s">
        <v>155</v>
      </c>
      <c r="C99" s="21" t="n">
        <v>909</v>
      </c>
      <c r="D99" s="21" t="n">
        <v>1171</v>
      </c>
      <c r="E99" s="22" t="str">
        <f aca="false">IF(C99=D99,"событие",IF(D99&gt;=2026,IF(A99="Личности","жив","существует"),"в прошлом"))</f>
        <v>в прошлом</v>
      </c>
      <c r="F99" s="23" t="n">
        <f aca="false">IF(C99=D99,"",D99-C99)</f>
        <v>262</v>
      </c>
      <c r="G99" s="23"/>
      <c r="H99" s="19" t="s">
        <v>150</v>
      </c>
      <c r="I99" s="24"/>
      <c r="M99" s="25"/>
      <c r="W99" s="25"/>
      <c r="AG99" s="25"/>
      <c r="AQ99" s="25"/>
      <c r="BA99" s="25"/>
      <c r="BK99" s="25"/>
      <c r="BU99" s="25"/>
      <c r="CE99" s="25"/>
      <c r="CO99" s="25"/>
      <c r="CY99" s="25"/>
      <c r="DI99" s="25"/>
      <c r="DS99" s="25"/>
      <c r="EC99" s="25"/>
      <c r="EM99" s="25"/>
      <c r="EW99" s="25"/>
      <c r="EZ99" s="35" t="str">
        <f aca="false">IF(AND(D99&gt;=2026,C99&lt;D99),"▶","")</f>
        <v/>
      </c>
    </row>
    <row r="100" customFormat="false" ht="12.75" hidden="false" customHeight="true" outlineLevel="0" collapsed="false">
      <c r="A100" s="19" t="s">
        <v>134</v>
      </c>
      <c r="B100" s="27" t="s">
        <v>156</v>
      </c>
      <c r="C100" s="21" t="n">
        <v>934</v>
      </c>
      <c r="D100" s="21" t="n">
        <v>1062</v>
      </c>
      <c r="E100" s="22" t="str">
        <f aca="false">IF(C100=D100,"событие",IF(D100&gt;=2026,IF(A100="Личности","жив","существует"),"в прошлом"))</f>
        <v>в прошлом</v>
      </c>
      <c r="F100" s="23" t="n">
        <f aca="false">IF(C100=D100,"",D100-C100)</f>
        <v>128</v>
      </c>
      <c r="G100" s="23"/>
      <c r="H100" s="19" t="s">
        <v>150</v>
      </c>
      <c r="I100" s="24"/>
      <c r="M100" s="25"/>
      <c r="W100" s="25"/>
      <c r="AG100" s="25"/>
      <c r="AQ100" s="25"/>
      <c r="BA100" s="25"/>
      <c r="BK100" s="25"/>
      <c r="BU100" s="25"/>
      <c r="CE100" s="25"/>
      <c r="CO100" s="25"/>
      <c r="CY100" s="25"/>
      <c r="DI100" s="25"/>
      <c r="DS100" s="25"/>
      <c r="EC100" s="25"/>
      <c r="EM100" s="25"/>
      <c r="EW100" s="25"/>
      <c r="EZ100" s="35" t="str">
        <f aca="false">IF(AND(D100&gt;=2026,C100&lt;D100),"▶","")</f>
        <v/>
      </c>
    </row>
    <row r="101" customFormat="false" ht="12.75" hidden="false" customHeight="true" outlineLevel="0" collapsed="false">
      <c r="A101" s="19" t="s">
        <v>134</v>
      </c>
      <c r="B101" s="27" t="s">
        <v>157</v>
      </c>
      <c r="C101" s="21" t="n">
        <v>977</v>
      </c>
      <c r="D101" s="21" t="n">
        <v>1186</v>
      </c>
      <c r="E101" s="22" t="str">
        <f aca="false">IF(C101=D101,"событие",IF(D101&gt;=2026,IF(A101="Личности","жив","существует"),"в прошлом"))</f>
        <v>в прошлом</v>
      </c>
      <c r="F101" s="23" t="n">
        <f aca="false">IF(C101=D101,"",D101-C101)</f>
        <v>209</v>
      </c>
      <c r="G101" s="23"/>
      <c r="H101" s="19" t="s">
        <v>139</v>
      </c>
      <c r="I101" s="24"/>
      <c r="M101" s="25"/>
      <c r="W101" s="25"/>
      <c r="AG101" s="25"/>
      <c r="AQ101" s="25"/>
      <c r="BA101" s="25"/>
      <c r="BK101" s="25"/>
      <c r="BU101" s="25"/>
      <c r="CE101" s="25"/>
      <c r="CO101" s="25"/>
      <c r="CY101" s="25"/>
      <c r="DI101" s="25"/>
      <c r="DS101" s="25"/>
      <c r="EC101" s="25"/>
      <c r="EM101" s="25"/>
      <c r="EW101" s="25"/>
      <c r="EZ101" s="32" t="str">
        <f aca="false">IF(AND(D101&gt;=2026,C101&lt;D101),"▶","")</f>
        <v/>
      </c>
    </row>
    <row r="102" customFormat="false" ht="12.75" hidden="false" customHeight="true" outlineLevel="0" collapsed="false">
      <c r="A102" s="19" t="s">
        <v>134</v>
      </c>
      <c r="B102" s="27" t="s">
        <v>158</v>
      </c>
      <c r="C102" s="21" t="n">
        <v>1037</v>
      </c>
      <c r="D102" s="21" t="n">
        <v>1194</v>
      </c>
      <c r="E102" s="22" t="str">
        <f aca="false">IF(C102=D102,"событие",IF(D102&gt;=2026,IF(A102="Личности","жив","существует"),"в прошлом"))</f>
        <v>в прошлом</v>
      </c>
      <c r="F102" s="23" t="n">
        <f aca="false">IF(C102=D102,"",D102-C102)</f>
        <v>157</v>
      </c>
      <c r="G102" s="23"/>
      <c r="H102" s="19" t="s">
        <v>139</v>
      </c>
      <c r="I102" s="24"/>
      <c r="M102" s="25"/>
      <c r="W102" s="25"/>
      <c r="AG102" s="25"/>
      <c r="AQ102" s="25"/>
      <c r="BA102" s="25"/>
      <c r="BK102" s="25"/>
      <c r="BU102" s="25"/>
      <c r="CE102" s="25"/>
      <c r="CO102" s="25"/>
      <c r="CY102" s="25"/>
      <c r="DI102" s="25"/>
      <c r="DS102" s="25"/>
      <c r="EC102" s="25"/>
      <c r="EM102" s="25"/>
      <c r="EW102" s="25"/>
      <c r="EZ102" s="32" t="str">
        <f aca="false">IF(AND(D102&gt;=2026,C102&lt;D102),"▶","")</f>
        <v/>
      </c>
    </row>
    <row r="103" customFormat="false" ht="12.75" hidden="false" customHeight="true" outlineLevel="0" collapsed="false">
      <c r="A103" s="19" t="s">
        <v>134</v>
      </c>
      <c r="B103" s="27" t="s">
        <v>159</v>
      </c>
      <c r="C103" s="21" t="n">
        <v>1040</v>
      </c>
      <c r="D103" s="21" t="n">
        <v>1147</v>
      </c>
      <c r="E103" s="22" t="str">
        <f aca="false">IF(C103=D103,"событие",IF(D103&gt;=2026,IF(A103="Личности","жив","существует"),"в прошлом"))</f>
        <v>в прошлом</v>
      </c>
      <c r="F103" s="23" t="n">
        <f aca="false">IF(C103=D103,"",D103-C103)</f>
        <v>107</v>
      </c>
      <c r="G103" s="23"/>
      <c r="H103" s="19" t="s">
        <v>139</v>
      </c>
      <c r="I103" s="24"/>
      <c r="M103" s="25"/>
      <c r="W103" s="25"/>
      <c r="AG103" s="25"/>
      <c r="AQ103" s="25"/>
      <c r="BA103" s="25"/>
      <c r="BK103" s="25"/>
      <c r="BU103" s="25"/>
      <c r="CE103" s="25"/>
      <c r="CO103" s="25"/>
      <c r="CY103" s="25"/>
      <c r="DI103" s="25"/>
      <c r="DS103" s="25"/>
      <c r="EC103" s="25"/>
      <c r="EM103" s="25"/>
      <c r="EW103" s="25"/>
      <c r="EZ103" s="32" t="str">
        <f aca="false">IF(AND(D103&gt;=2026,C103&lt;D103),"▶","")</f>
        <v/>
      </c>
    </row>
    <row r="104" customFormat="false" ht="12.75" hidden="false" customHeight="true" outlineLevel="0" collapsed="false">
      <c r="A104" s="19" t="s">
        <v>134</v>
      </c>
      <c r="B104" s="27" t="s">
        <v>160</v>
      </c>
      <c r="C104" s="21" t="n">
        <v>1077</v>
      </c>
      <c r="D104" s="21" t="n">
        <v>1231</v>
      </c>
      <c r="E104" s="22" t="str">
        <f aca="false">IF(C104=D104,"событие",IF(D104&gt;=2026,IF(A104="Личности","жив","существует"),"в прошлом"))</f>
        <v>в прошлом</v>
      </c>
      <c r="F104" s="23" t="n">
        <f aca="false">IF(C104=D104,"",D104-C104)</f>
        <v>154</v>
      </c>
      <c r="G104" s="23"/>
      <c r="H104" s="19" t="s">
        <v>139</v>
      </c>
      <c r="I104" s="24"/>
      <c r="M104" s="25"/>
      <c r="W104" s="25"/>
      <c r="AG104" s="25"/>
      <c r="AQ104" s="25"/>
      <c r="BA104" s="25"/>
      <c r="BK104" s="25"/>
      <c r="BU104" s="25"/>
      <c r="CE104" s="25"/>
      <c r="CO104" s="25"/>
      <c r="CY104" s="25"/>
      <c r="DI104" s="25"/>
      <c r="DS104" s="25"/>
      <c r="EC104" s="25"/>
      <c r="EM104" s="25"/>
      <c r="EW104" s="25"/>
      <c r="EZ104" s="32" t="str">
        <f aca="false">IF(AND(D104&gt;=2026,C104&lt;D104),"▶","")</f>
        <v/>
      </c>
    </row>
    <row r="105" customFormat="false" ht="12.75" hidden="false" customHeight="true" outlineLevel="0" collapsed="false">
      <c r="A105" s="19" t="s">
        <v>134</v>
      </c>
      <c r="B105" s="27" t="s">
        <v>161</v>
      </c>
      <c r="C105" s="21" t="n">
        <v>1077</v>
      </c>
      <c r="D105" s="21" t="n">
        <v>1308</v>
      </c>
      <c r="E105" s="22" t="str">
        <f aca="false">IF(C105=D105,"событие",IF(D105&gt;=2026,IF(A105="Личности","жив","существует"),"в прошлом"))</f>
        <v>в прошлом</v>
      </c>
      <c r="F105" s="23" t="n">
        <f aca="false">IF(C105=D105,"",D105-C105)</f>
        <v>231</v>
      </c>
      <c r="G105" s="23"/>
      <c r="H105" s="19" t="s">
        <v>139</v>
      </c>
      <c r="I105" s="24"/>
      <c r="M105" s="25"/>
      <c r="W105" s="25"/>
      <c r="AG105" s="25"/>
      <c r="AQ105" s="25"/>
      <c r="BA105" s="25"/>
      <c r="BK105" s="25"/>
      <c r="BU105" s="25"/>
      <c r="CE105" s="25"/>
      <c r="CO105" s="25"/>
      <c r="CY105" s="25"/>
      <c r="DI105" s="25"/>
      <c r="DS105" s="25"/>
      <c r="EC105" s="25"/>
      <c r="EM105" s="25"/>
      <c r="EW105" s="25"/>
      <c r="EZ105" s="32" t="str">
        <f aca="false">IF(AND(D105&gt;=2026,C105&lt;D105),"▶","")</f>
        <v/>
      </c>
    </row>
    <row r="106" customFormat="false" ht="12.75" hidden="false" customHeight="true" outlineLevel="0" collapsed="false">
      <c r="A106" s="19" t="s">
        <v>134</v>
      </c>
      <c r="B106" s="27" t="s">
        <v>162</v>
      </c>
      <c r="C106" s="21" t="n">
        <v>1090</v>
      </c>
      <c r="D106" s="21" t="n">
        <v>1256</v>
      </c>
      <c r="E106" s="22" t="str">
        <f aca="false">IF(C106=D106,"событие",IF(D106&gt;=2026,IF(A106="Личности","жив","существует"),"в прошлом"))</f>
        <v>в прошлом</v>
      </c>
      <c r="F106" s="23" t="n">
        <f aca="false">IF(C106=D106,"",D106-C106)</f>
        <v>166</v>
      </c>
      <c r="G106" s="23"/>
      <c r="H106" s="19" t="s">
        <v>150</v>
      </c>
      <c r="I106" s="24"/>
      <c r="M106" s="25"/>
      <c r="W106" s="25"/>
      <c r="AG106" s="25"/>
      <c r="AQ106" s="25"/>
      <c r="BA106" s="25"/>
      <c r="BK106" s="25"/>
      <c r="BU106" s="25"/>
      <c r="CE106" s="25"/>
      <c r="CO106" s="25"/>
      <c r="CY106" s="25"/>
      <c r="DI106" s="25"/>
      <c r="DS106" s="25"/>
      <c r="EC106" s="25"/>
      <c r="EM106" s="25"/>
      <c r="EW106" s="25"/>
      <c r="EZ106" s="35" t="str">
        <f aca="false">IF(AND(D106&gt;=2026,C106&lt;D106),"▶","")</f>
        <v/>
      </c>
    </row>
    <row r="107" customFormat="false" ht="12.75" hidden="false" customHeight="true" outlineLevel="0" collapsed="false">
      <c r="A107" s="19" t="s">
        <v>134</v>
      </c>
      <c r="B107" s="27" t="s">
        <v>163</v>
      </c>
      <c r="C107" s="21" t="n">
        <v>1121</v>
      </c>
      <c r="D107" s="21" t="n">
        <v>1269</v>
      </c>
      <c r="E107" s="22" t="str">
        <f aca="false">IF(C107=D107,"событие",IF(D107&gt;=2026,IF(A107="Личности","жив","существует"),"в прошлом"))</f>
        <v>в прошлом</v>
      </c>
      <c r="F107" s="23" t="n">
        <f aca="false">IF(C107=D107,"",D107-C107)</f>
        <v>148</v>
      </c>
      <c r="G107" s="23"/>
      <c r="H107" s="19" t="s">
        <v>139</v>
      </c>
      <c r="I107" s="24"/>
      <c r="M107" s="25"/>
      <c r="W107" s="25"/>
      <c r="AG107" s="25"/>
      <c r="AQ107" s="25"/>
      <c r="BA107" s="25"/>
      <c r="BK107" s="25"/>
      <c r="BU107" s="25"/>
      <c r="CE107" s="25"/>
      <c r="CO107" s="25"/>
      <c r="CY107" s="25"/>
      <c r="DI107" s="25"/>
      <c r="DS107" s="25"/>
      <c r="EC107" s="25"/>
      <c r="EM107" s="25"/>
      <c r="EW107" s="25"/>
      <c r="EZ107" s="32" t="str">
        <f aca="false">IF(AND(D107&gt;=2026,C107&lt;D107),"▶","")</f>
        <v/>
      </c>
    </row>
    <row r="108" customFormat="false" ht="12.75" hidden="false" customHeight="true" outlineLevel="0" collapsed="false">
      <c r="A108" s="19" t="s">
        <v>134</v>
      </c>
      <c r="B108" s="27" t="s">
        <v>164</v>
      </c>
      <c r="C108" s="21" t="n">
        <v>1171</v>
      </c>
      <c r="D108" s="21" t="n">
        <v>1260</v>
      </c>
      <c r="E108" s="22" t="str">
        <f aca="false">IF(C108=D108,"событие",IF(D108&gt;=2026,IF(A108="Личности","жив","существует"),"в прошлом"))</f>
        <v>в прошлом</v>
      </c>
      <c r="F108" s="23" t="n">
        <f aca="false">IF(C108=D108,"",D108-C108)</f>
        <v>89</v>
      </c>
      <c r="G108" s="23"/>
      <c r="H108" s="19" t="s">
        <v>139</v>
      </c>
      <c r="I108" s="24"/>
      <c r="M108" s="25"/>
      <c r="W108" s="25"/>
      <c r="AG108" s="25"/>
      <c r="AQ108" s="25"/>
      <c r="BA108" s="25"/>
      <c r="BK108" s="25"/>
      <c r="BU108" s="25"/>
      <c r="CE108" s="25"/>
      <c r="CO108" s="25"/>
      <c r="CY108" s="25"/>
      <c r="DI108" s="25"/>
      <c r="DS108" s="25"/>
      <c r="EC108" s="25"/>
      <c r="EM108" s="25"/>
      <c r="EW108" s="25"/>
      <c r="EZ108" s="32" t="str">
        <f aca="false">IF(AND(D108&gt;=2026,C108&lt;D108),"▶","")</f>
        <v/>
      </c>
    </row>
    <row r="109" customFormat="false" ht="12.75" hidden="false" customHeight="true" outlineLevel="0" collapsed="false">
      <c r="A109" s="19" t="s">
        <v>134</v>
      </c>
      <c r="B109" s="27" t="s">
        <v>165</v>
      </c>
      <c r="C109" s="21" t="n">
        <v>1206</v>
      </c>
      <c r="D109" s="21" t="n">
        <v>1526</v>
      </c>
      <c r="E109" s="22" t="str">
        <f aca="false">IF(C109=D109,"событие",IF(D109&gt;=2026,IF(A109="Личности","жив","существует"),"в прошлом"))</f>
        <v>в прошлом</v>
      </c>
      <c r="F109" s="23" t="n">
        <f aca="false">IF(C109=D109,"",D109-C109)</f>
        <v>320</v>
      </c>
      <c r="G109" s="23"/>
      <c r="H109" s="19" t="s">
        <v>139</v>
      </c>
      <c r="I109" s="24"/>
      <c r="M109" s="25"/>
      <c r="W109" s="25"/>
      <c r="AG109" s="25"/>
      <c r="AQ109" s="25"/>
      <c r="BA109" s="25"/>
      <c r="BK109" s="25"/>
      <c r="BU109" s="25"/>
      <c r="CE109" s="25"/>
      <c r="CO109" s="25"/>
      <c r="CY109" s="25"/>
      <c r="DI109" s="25"/>
      <c r="DS109" s="25"/>
      <c r="EC109" s="25"/>
      <c r="EM109" s="25"/>
      <c r="EW109" s="25"/>
      <c r="EZ109" s="32" t="str">
        <f aca="false">IF(AND(D109&gt;=2026,C109&lt;D109),"▶","")</f>
        <v/>
      </c>
    </row>
    <row r="110" customFormat="false" ht="12.75" hidden="false" customHeight="true" outlineLevel="0" collapsed="false">
      <c r="A110" s="19" t="s">
        <v>134</v>
      </c>
      <c r="B110" s="27" t="s">
        <v>166</v>
      </c>
      <c r="C110" s="21" t="n">
        <v>1232</v>
      </c>
      <c r="D110" s="21" t="n">
        <v>1492</v>
      </c>
      <c r="E110" s="22" t="str">
        <f aca="false">IF(C110=D110,"событие",IF(D110&gt;=2026,IF(A110="Личности","жив","существует"),"в прошлом"))</f>
        <v>в прошлом</v>
      </c>
      <c r="F110" s="23" t="n">
        <f aca="false">IF(C110=D110,"",D110-C110)</f>
        <v>260</v>
      </c>
      <c r="G110" s="23"/>
      <c r="H110" s="19" t="s">
        <v>139</v>
      </c>
      <c r="I110" s="24"/>
      <c r="M110" s="25"/>
      <c r="W110" s="25"/>
      <c r="AG110" s="25"/>
      <c r="AQ110" s="25"/>
      <c r="BA110" s="25"/>
      <c r="BK110" s="25"/>
      <c r="BU110" s="25"/>
      <c r="CE110" s="25"/>
      <c r="CO110" s="25"/>
      <c r="CY110" s="25"/>
      <c r="DI110" s="25"/>
      <c r="DS110" s="25"/>
      <c r="EC110" s="25"/>
      <c r="EM110" s="25"/>
      <c r="EW110" s="25"/>
      <c r="EZ110" s="32" t="str">
        <f aca="false">IF(AND(D110&gt;=2026,C110&lt;D110),"▶","")</f>
        <v/>
      </c>
    </row>
    <row r="111" customFormat="false" ht="12.75" hidden="false" customHeight="true" outlineLevel="0" collapsed="false">
      <c r="A111" s="19" t="s">
        <v>134</v>
      </c>
      <c r="B111" s="27" t="s">
        <v>167</v>
      </c>
      <c r="C111" s="21" t="n">
        <v>1235</v>
      </c>
      <c r="D111" s="21" t="n">
        <v>1600</v>
      </c>
      <c r="E111" s="22" t="str">
        <f aca="false">IF(C111=D111,"событие",IF(D111&gt;=2026,IF(A111="Личности","жив","существует"),"в прошлом"))</f>
        <v>в прошлом</v>
      </c>
      <c r="F111" s="23" t="n">
        <f aca="false">IF(C111=D111,"",D111-C111)</f>
        <v>365</v>
      </c>
      <c r="G111" s="23"/>
      <c r="H111" s="19" t="s">
        <v>139</v>
      </c>
      <c r="I111" s="24"/>
      <c r="M111" s="25"/>
      <c r="W111" s="25"/>
      <c r="AG111" s="25"/>
      <c r="AQ111" s="25"/>
      <c r="BA111" s="25"/>
      <c r="BK111" s="25"/>
      <c r="BU111" s="25"/>
      <c r="CE111" s="25"/>
      <c r="CO111" s="25"/>
      <c r="CY111" s="25"/>
      <c r="DI111" s="25"/>
      <c r="DS111" s="25"/>
      <c r="EC111" s="25"/>
      <c r="EM111" s="25"/>
      <c r="EW111" s="25"/>
      <c r="EZ111" s="32" t="str">
        <f aca="false">IF(AND(D111&gt;=2026,C111&lt;D111),"▶","")</f>
        <v/>
      </c>
    </row>
    <row r="112" customFormat="false" ht="12.75" hidden="false" customHeight="true" outlineLevel="0" collapsed="false">
      <c r="A112" s="19" t="s">
        <v>134</v>
      </c>
      <c r="B112" s="27" t="s">
        <v>168</v>
      </c>
      <c r="C112" s="21" t="n">
        <v>1242</v>
      </c>
      <c r="D112" s="21" t="n">
        <v>1502</v>
      </c>
      <c r="E112" s="22" t="str">
        <f aca="false">IF(C112=D112,"событие",IF(D112&gt;=2026,IF(A112="Личности","жив","существует"),"в прошлом"))</f>
        <v>в прошлом</v>
      </c>
      <c r="F112" s="23" t="n">
        <f aca="false">IF(C112=D112,"",D112-C112)</f>
        <v>260</v>
      </c>
      <c r="G112" s="23"/>
      <c r="H112" s="19" t="s">
        <v>139</v>
      </c>
      <c r="I112" s="24"/>
      <c r="M112" s="25"/>
      <c r="W112" s="25"/>
      <c r="AG112" s="25"/>
      <c r="AQ112" s="25"/>
      <c r="BA112" s="25"/>
      <c r="BK112" s="25"/>
      <c r="BU112" s="25"/>
      <c r="CE112" s="25"/>
      <c r="CO112" s="25"/>
      <c r="CY112" s="25"/>
      <c r="DI112" s="25"/>
      <c r="DS112" s="25"/>
      <c r="EC112" s="25"/>
      <c r="EM112" s="25"/>
      <c r="EW112" s="25"/>
      <c r="EZ112" s="32" t="str">
        <f aca="false">IF(AND(D112&gt;=2026,C112&lt;D112),"▶","")</f>
        <v/>
      </c>
    </row>
    <row r="113" customFormat="false" ht="12.75" hidden="false" customHeight="true" outlineLevel="0" collapsed="false">
      <c r="A113" s="19" t="s">
        <v>134</v>
      </c>
      <c r="B113" s="27" t="s">
        <v>169</v>
      </c>
      <c r="C113" s="21" t="n">
        <v>1250</v>
      </c>
      <c r="D113" s="21" t="n">
        <v>1517</v>
      </c>
      <c r="E113" s="22" t="str">
        <f aca="false">IF(C113=D113,"событие",IF(D113&gt;=2026,IF(A113="Личности","жив","существует"),"в прошлом"))</f>
        <v>в прошлом</v>
      </c>
      <c r="F113" s="23" t="n">
        <f aca="false">IF(C113=D113,"",D113-C113)</f>
        <v>267</v>
      </c>
      <c r="G113" s="23"/>
      <c r="H113" s="19" t="s">
        <v>139</v>
      </c>
      <c r="I113" s="24"/>
      <c r="M113" s="25"/>
      <c r="W113" s="25"/>
      <c r="AG113" s="25"/>
      <c r="AQ113" s="25"/>
      <c r="BA113" s="25"/>
      <c r="BK113" s="25"/>
      <c r="BU113" s="25"/>
      <c r="CE113" s="25"/>
      <c r="CO113" s="25"/>
      <c r="CY113" s="25"/>
      <c r="DI113" s="25"/>
      <c r="DS113" s="25"/>
      <c r="EC113" s="25"/>
      <c r="EM113" s="25"/>
      <c r="EW113" s="25"/>
      <c r="EZ113" s="32" t="str">
        <f aca="false">IF(AND(D113&gt;=2026,C113&lt;D113),"▶","")</f>
        <v/>
      </c>
    </row>
    <row r="114" customFormat="false" ht="12.75" hidden="false" customHeight="true" outlineLevel="0" collapsed="false">
      <c r="A114" s="19" t="s">
        <v>134</v>
      </c>
      <c r="B114" s="27" t="s">
        <v>170</v>
      </c>
      <c r="C114" s="21" t="n">
        <v>1256</v>
      </c>
      <c r="D114" s="21" t="n">
        <v>1335</v>
      </c>
      <c r="E114" s="22" t="str">
        <f aca="false">IF(C114=D114,"событие",IF(D114&gt;=2026,IF(A114="Личности","жив","существует"),"в прошлом"))</f>
        <v>в прошлом</v>
      </c>
      <c r="F114" s="23" t="n">
        <f aca="false">IF(C114=D114,"",D114-C114)</f>
        <v>79</v>
      </c>
      <c r="G114" s="23"/>
      <c r="H114" s="19" t="s">
        <v>145</v>
      </c>
      <c r="I114" s="24"/>
      <c r="M114" s="25"/>
      <c r="W114" s="25"/>
      <c r="AG114" s="25"/>
      <c r="AQ114" s="25"/>
      <c r="BA114" s="25"/>
      <c r="BK114" s="25"/>
      <c r="BU114" s="25"/>
      <c r="CE114" s="25"/>
      <c r="CO114" s="25"/>
      <c r="CY114" s="25"/>
      <c r="DI114" s="25"/>
      <c r="DS114" s="25"/>
      <c r="EC114" s="25"/>
      <c r="EM114" s="25"/>
      <c r="EW114" s="25"/>
      <c r="EZ114" s="34" t="str">
        <f aca="false">IF(AND(D114&gt;=2026,C114&lt;D114),"▶","")</f>
        <v/>
      </c>
    </row>
    <row r="115" customFormat="false" ht="12.75" hidden="false" customHeight="true" outlineLevel="0" collapsed="false">
      <c r="A115" s="19" t="s">
        <v>134</v>
      </c>
      <c r="B115" s="27" t="s">
        <v>171</v>
      </c>
      <c r="C115" s="21" t="n">
        <v>1261</v>
      </c>
      <c r="D115" s="21" t="n">
        <v>1517</v>
      </c>
      <c r="E115" s="22" t="str">
        <f aca="false">IF(C115=D115,"событие",IF(D115&gt;=2026,IF(A115="Личности","жив","существует"),"в прошлом"))</f>
        <v>в прошлом</v>
      </c>
      <c r="F115" s="23" t="n">
        <f aca="false">IF(C115=D115,"",D115-C115)</f>
        <v>256</v>
      </c>
      <c r="G115" s="23"/>
      <c r="H115" s="19" t="s">
        <v>139</v>
      </c>
      <c r="I115" s="24"/>
      <c r="M115" s="25"/>
      <c r="W115" s="25"/>
      <c r="AG115" s="25"/>
      <c r="AQ115" s="25"/>
      <c r="BA115" s="25"/>
      <c r="BK115" s="25"/>
      <c r="BU115" s="25"/>
      <c r="CE115" s="25"/>
      <c r="CO115" s="25"/>
      <c r="CY115" s="25"/>
      <c r="DI115" s="25"/>
      <c r="DS115" s="25"/>
      <c r="EC115" s="25"/>
      <c r="EM115" s="25"/>
      <c r="EW115" s="25"/>
      <c r="EZ115" s="32" t="str">
        <f aca="false">IF(AND(D115&gt;=2026,C115&lt;D115),"▶","")</f>
        <v/>
      </c>
    </row>
    <row r="116" customFormat="false" ht="12.75" hidden="false" customHeight="true" outlineLevel="0" collapsed="false">
      <c r="A116" s="19" t="s">
        <v>134</v>
      </c>
      <c r="B116" s="27" t="s">
        <v>172</v>
      </c>
      <c r="C116" s="21" t="n">
        <v>1299</v>
      </c>
      <c r="D116" s="21" t="n">
        <v>1922</v>
      </c>
      <c r="E116" s="22" t="str">
        <f aca="false">IF(C116=D116,"событие",IF(D116&gt;=2026,IF(A116="Личности","жив","существует"),"в прошлом"))</f>
        <v>в прошлом</v>
      </c>
      <c r="F116" s="23" t="n">
        <f aca="false">IF(C116=D116,"",D116-C116)</f>
        <v>623</v>
      </c>
      <c r="G116" s="23"/>
      <c r="H116" s="19" t="s">
        <v>139</v>
      </c>
      <c r="I116" s="24"/>
      <c r="M116" s="25"/>
      <c r="W116" s="25"/>
      <c r="AG116" s="25"/>
      <c r="AQ116" s="25"/>
      <c r="BA116" s="25"/>
      <c r="BK116" s="25"/>
      <c r="BU116" s="25"/>
      <c r="CE116" s="25"/>
      <c r="CO116" s="25"/>
      <c r="CY116" s="25"/>
      <c r="DI116" s="25"/>
      <c r="DS116" s="25"/>
      <c r="EC116" s="25"/>
      <c r="EM116" s="25"/>
      <c r="EW116" s="25"/>
      <c r="EZ116" s="32" t="str">
        <f aca="false">IF(AND(D116&gt;=2026,C116&lt;D116),"▶","")</f>
        <v/>
      </c>
    </row>
    <row r="117" customFormat="false" ht="12.75" hidden="false" customHeight="true" outlineLevel="0" collapsed="false">
      <c r="A117" s="19" t="s">
        <v>134</v>
      </c>
      <c r="B117" s="27" t="s">
        <v>173</v>
      </c>
      <c r="C117" s="21" t="n">
        <v>1370</v>
      </c>
      <c r="D117" s="21" t="n">
        <v>1507</v>
      </c>
      <c r="E117" s="22" t="str">
        <f aca="false">IF(C117=D117,"событие",IF(D117&gt;=2026,IF(A117="Личности","жив","существует"),"в прошлом"))</f>
        <v>в прошлом</v>
      </c>
      <c r="F117" s="23" t="n">
        <f aca="false">IF(C117=D117,"",D117-C117)</f>
        <v>137</v>
      </c>
      <c r="G117" s="23"/>
      <c r="H117" s="19" t="s">
        <v>139</v>
      </c>
      <c r="I117" s="24"/>
      <c r="M117" s="25"/>
      <c r="W117" s="25"/>
      <c r="AG117" s="25"/>
      <c r="AQ117" s="25"/>
      <c r="BA117" s="25"/>
      <c r="BK117" s="25"/>
      <c r="BU117" s="25"/>
      <c r="CE117" s="25"/>
      <c r="CO117" s="25"/>
      <c r="CY117" s="25"/>
      <c r="DI117" s="25"/>
      <c r="DS117" s="25"/>
      <c r="EC117" s="25"/>
      <c r="EM117" s="25"/>
      <c r="EW117" s="25"/>
      <c r="EZ117" s="32" t="str">
        <f aca="false">IF(AND(D117&gt;=2026,C117&lt;D117),"▶","")</f>
        <v/>
      </c>
    </row>
    <row r="118" customFormat="false" ht="12.75" hidden="false" customHeight="true" outlineLevel="0" collapsed="false">
      <c r="A118" s="19" t="s">
        <v>134</v>
      </c>
      <c r="B118" s="27" t="s">
        <v>174</v>
      </c>
      <c r="C118" s="21" t="n">
        <v>1400</v>
      </c>
      <c r="D118" s="21" t="n">
        <v>1511</v>
      </c>
      <c r="E118" s="22" t="str">
        <f aca="false">IF(C118=D118,"событие",IF(D118&gt;=2026,IF(A118="Личности","жив","существует"),"в прошлом"))</f>
        <v>в прошлом</v>
      </c>
      <c r="F118" s="23" t="n">
        <f aca="false">IF(C118=D118,"",D118-C118)</f>
        <v>111</v>
      </c>
      <c r="G118" s="23"/>
      <c r="H118" s="19" t="s">
        <v>139</v>
      </c>
      <c r="I118" s="24"/>
      <c r="M118" s="25"/>
      <c r="W118" s="25"/>
      <c r="AG118" s="25"/>
      <c r="AQ118" s="25"/>
      <c r="BA118" s="25"/>
      <c r="BK118" s="25"/>
      <c r="BU118" s="25"/>
      <c r="CE118" s="25"/>
      <c r="CO118" s="25"/>
      <c r="CY118" s="25"/>
      <c r="DI118" s="25"/>
      <c r="DS118" s="25"/>
      <c r="EC118" s="25"/>
      <c r="EM118" s="25"/>
      <c r="EW118" s="25"/>
      <c r="EZ118" s="32" t="str">
        <f aca="false">IF(AND(D118&gt;=2026,C118&lt;D118),"▶","")</f>
        <v/>
      </c>
    </row>
    <row r="119" customFormat="false" ht="12.75" hidden="false" customHeight="true" outlineLevel="0" collapsed="false">
      <c r="A119" s="19" t="s">
        <v>134</v>
      </c>
      <c r="B119" s="27" t="s">
        <v>175</v>
      </c>
      <c r="C119" s="21" t="n">
        <v>1464</v>
      </c>
      <c r="D119" s="21" t="n">
        <v>1591</v>
      </c>
      <c r="E119" s="22" t="str">
        <f aca="false">IF(C119=D119,"событие",IF(D119&gt;=2026,IF(A119="Личности","жив","существует"),"в прошлом"))</f>
        <v>в прошлом</v>
      </c>
      <c r="F119" s="23" t="n">
        <f aca="false">IF(C119=D119,"",D119-C119)</f>
        <v>127</v>
      </c>
      <c r="G119" s="23"/>
      <c r="H119" s="19" t="s">
        <v>139</v>
      </c>
      <c r="I119" s="24"/>
      <c r="M119" s="25"/>
      <c r="W119" s="25"/>
      <c r="AG119" s="25"/>
      <c r="AQ119" s="25"/>
      <c r="BA119" s="25"/>
      <c r="BK119" s="25"/>
      <c r="BU119" s="25"/>
      <c r="CE119" s="25"/>
      <c r="CO119" s="25"/>
      <c r="CY119" s="25"/>
      <c r="DI119" s="25"/>
      <c r="DS119" s="25"/>
      <c r="EC119" s="25"/>
      <c r="EM119" s="25"/>
      <c r="EW119" s="25"/>
      <c r="EZ119" s="32" t="str">
        <f aca="false">IF(AND(D119&gt;=2026,C119&lt;D119),"▶","")</f>
        <v/>
      </c>
    </row>
    <row r="120" customFormat="false" ht="12.75" hidden="false" customHeight="true" outlineLevel="0" collapsed="false">
      <c r="A120" s="19" t="s">
        <v>134</v>
      </c>
      <c r="B120" s="27" t="s">
        <v>99</v>
      </c>
      <c r="C120" s="21" t="n">
        <v>1465</v>
      </c>
      <c r="D120" s="21" t="n">
        <v>1847</v>
      </c>
      <c r="E120" s="22" t="str">
        <f aca="false">IF(C120=D120,"событие",IF(D120&gt;=2026,IF(A120="Личности","жив","существует"),"в прошлом"))</f>
        <v>в прошлом</v>
      </c>
      <c r="F120" s="23" t="n">
        <f aca="false">IF(C120=D120,"",D120-C120)</f>
        <v>382</v>
      </c>
      <c r="G120" s="23"/>
      <c r="H120" s="19" t="s">
        <v>139</v>
      </c>
      <c r="I120" s="24"/>
      <c r="M120" s="25"/>
      <c r="W120" s="25"/>
      <c r="AG120" s="25"/>
      <c r="AQ120" s="25"/>
      <c r="BA120" s="25"/>
      <c r="BK120" s="25"/>
      <c r="BU120" s="25"/>
      <c r="CE120" s="25"/>
      <c r="CO120" s="25"/>
      <c r="CY120" s="25"/>
      <c r="DI120" s="25"/>
      <c r="DS120" s="25"/>
      <c r="EC120" s="25"/>
      <c r="EM120" s="25"/>
      <c r="EW120" s="25"/>
      <c r="EZ120" s="32" t="str">
        <f aca="false">IF(AND(D120&gt;=2026,C120&lt;D120),"▶","")</f>
        <v/>
      </c>
    </row>
    <row r="121" customFormat="false" ht="12.75" hidden="false" customHeight="true" outlineLevel="0" collapsed="false">
      <c r="A121" s="19" t="s">
        <v>134</v>
      </c>
      <c r="B121" s="27" t="s">
        <v>176</v>
      </c>
      <c r="C121" s="21" t="n">
        <v>1496</v>
      </c>
      <c r="D121" s="21" t="n">
        <v>1903</v>
      </c>
      <c r="E121" s="22" t="str">
        <f aca="false">IF(C121=D121,"событие",IF(D121&gt;=2026,IF(A121="Личности","жив","существует"),"в прошлом"))</f>
        <v>в прошлом</v>
      </c>
      <c r="F121" s="23" t="n">
        <f aca="false">IF(C121=D121,"",D121-C121)</f>
        <v>407</v>
      </c>
      <c r="G121" s="23"/>
      <c r="H121" s="19" t="s">
        <v>139</v>
      </c>
      <c r="I121" s="24"/>
      <c r="M121" s="25"/>
      <c r="W121" s="25"/>
      <c r="AG121" s="25"/>
      <c r="AQ121" s="25"/>
      <c r="BA121" s="25"/>
      <c r="BK121" s="25"/>
      <c r="BU121" s="25"/>
      <c r="CE121" s="25"/>
      <c r="CO121" s="25"/>
      <c r="CY121" s="25"/>
      <c r="DI121" s="25"/>
      <c r="DS121" s="25"/>
      <c r="EC121" s="25"/>
      <c r="EM121" s="25"/>
      <c r="EW121" s="25"/>
      <c r="EZ121" s="32" t="str">
        <f aca="false">IF(AND(D121&gt;=2026,C121&lt;D121),"▶","")</f>
        <v/>
      </c>
    </row>
    <row r="122" customFormat="false" ht="12.75" hidden="false" customHeight="true" outlineLevel="0" collapsed="false">
      <c r="A122" s="19" t="s">
        <v>134</v>
      </c>
      <c r="B122" s="27" t="s">
        <v>177</v>
      </c>
      <c r="C122" s="21" t="n">
        <v>1500</v>
      </c>
      <c r="D122" s="21" t="n">
        <v>1920</v>
      </c>
      <c r="E122" s="22" t="str">
        <f aca="false">IF(C122=D122,"событие",IF(D122&gt;=2026,IF(A122="Личности","жив","существует"),"в прошлом"))</f>
        <v>в прошлом</v>
      </c>
      <c r="F122" s="23" t="n">
        <f aca="false">IF(C122=D122,"",D122-C122)</f>
        <v>420</v>
      </c>
      <c r="G122" s="23"/>
      <c r="H122" s="19" t="s">
        <v>139</v>
      </c>
      <c r="I122" s="24"/>
      <c r="M122" s="25"/>
      <c r="W122" s="25"/>
      <c r="AG122" s="25"/>
      <c r="AQ122" s="25"/>
      <c r="BA122" s="25"/>
      <c r="BK122" s="25"/>
      <c r="BU122" s="25"/>
      <c r="CE122" s="25"/>
      <c r="CO122" s="25"/>
      <c r="CY122" s="25"/>
      <c r="DI122" s="25"/>
      <c r="DS122" s="25"/>
      <c r="EC122" s="25"/>
      <c r="EM122" s="25"/>
      <c r="EW122" s="25"/>
      <c r="EZ122" s="32" t="str">
        <f aca="false">IF(AND(D122&gt;=2026,C122&lt;D122),"▶","")</f>
        <v/>
      </c>
    </row>
    <row r="123" customFormat="false" ht="12.75" hidden="false" customHeight="true" outlineLevel="0" collapsed="false">
      <c r="A123" s="19" t="s">
        <v>134</v>
      </c>
      <c r="B123" s="27" t="s">
        <v>178</v>
      </c>
      <c r="C123" s="21" t="n">
        <v>1501</v>
      </c>
      <c r="D123" s="21" t="n">
        <v>1736</v>
      </c>
      <c r="E123" s="22" t="str">
        <f aca="false">IF(C123=D123,"событие",IF(D123&gt;=2026,IF(A123="Личности","жив","существует"),"в прошлом"))</f>
        <v>в прошлом</v>
      </c>
      <c r="F123" s="23" t="n">
        <f aca="false">IF(C123=D123,"",D123-C123)</f>
        <v>235</v>
      </c>
      <c r="G123" s="23"/>
      <c r="H123" s="19" t="s">
        <v>150</v>
      </c>
      <c r="I123" s="24"/>
      <c r="M123" s="25"/>
      <c r="W123" s="25"/>
      <c r="AG123" s="25"/>
      <c r="AQ123" s="25"/>
      <c r="BA123" s="25"/>
      <c r="BK123" s="25"/>
      <c r="BU123" s="25"/>
      <c r="CE123" s="25"/>
      <c r="CO123" s="25"/>
      <c r="CY123" s="25"/>
      <c r="DI123" s="25"/>
      <c r="DS123" s="25"/>
      <c r="EC123" s="25"/>
      <c r="EM123" s="25"/>
      <c r="EW123" s="25"/>
      <c r="EZ123" s="35" t="str">
        <f aca="false">IF(AND(D123&gt;=2026,C123&lt;D123),"▶","")</f>
        <v/>
      </c>
    </row>
    <row r="124" customFormat="false" ht="12.75" hidden="false" customHeight="true" outlineLevel="0" collapsed="false">
      <c r="A124" s="19" t="s">
        <v>134</v>
      </c>
      <c r="B124" s="27" t="s">
        <v>179</v>
      </c>
      <c r="C124" s="21" t="n">
        <v>1526</v>
      </c>
      <c r="D124" s="21" t="n">
        <v>1857</v>
      </c>
      <c r="E124" s="22" t="str">
        <f aca="false">IF(C124=D124,"событие",IF(D124&gt;=2026,IF(A124="Личности","жив","существует"),"в прошлом"))</f>
        <v>в прошлом</v>
      </c>
      <c r="F124" s="23" t="n">
        <f aca="false">IF(C124=D124,"",D124-C124)</f>
        <v>331</v>
      </c>
      <c r="G124" s="23"/>
      <c r="H124" s="19" t="s">
        <v>139</v>
      </c>
      <c r="I124" s="24"/>
      <c r="M124" s="25"/>
      <c r="W124" s="25"/>
      <c r="AG124" s="25"/>
      <c r="AQ124" s="25"/>
      <c r="BA124" s="25"/>
      <c r="BK124" s="25"/>
      <c r="BU124" s="25"/>
      <c r="CE124" s="25"/>
      <c r="CO124" s="25"/>
      <c r="CY124" s="25"/>
      <c r="DI124" s="25"/>
      <c r="DS124" s="25"/>
      <c r="EC124" s="25"/>
      <c r="EM124" s="25"/>
      <c r="EW124" s="25"/>
      <c r="EZ124" s="32" t="str">
        <f aca="false">IF(AND(D124&gt;=2026,C124&lt;D124),"▶","")</f>
        <v/>
      </c>
    </row>
    <row r="125" customFormat="false" ht="12.75" hidden="false" customHeight="true" outlineLevel="0" collapsed="false">
      <c r="A125" s="19" t="s">
        <v>134</v>
      </c>
      <c r="B125" s="27" t="s">
        <v>180</v>
      </c>
      <c r="C125" s="21" t="n">
        <v>1666</v>
      </c>
      <c r="D125" s="21" t="n">
        <v>2026</v>
      </c>
      <c r="E125" s="22" t="str">
        <f aca="false">IF(C125=D125,"событие",IF(D125&gt;=2026,IF(A125="Личности","жив","существует"),"в прошлом"))</f>
        <v>существует</v>
      </c>
      <c r="F125" s="23" t="n">
        <f aca="false">IF(C125=D125,"",D125-C125)</f>
        <v>360</v>
      </c>
      <c r="G125" s="23"/>
      <c r="H125" s="19" t="s">
        <v>139</v>
      </c>
      <c r="I125" s="24"/>
      <c r="M125" s="25"/>
      <c r="W125" s="25"/>
      <c r="AG125" s="25"/>
      <c r="AQ125" s="25"/>
      <c r="BA125" s="25"/>
      <c r="BK125" s="25"/>
      <c r="BU125" s="25"/>
      <c r="CE125" s="25"/>
      <c r="CO125" s="25"/>
      <c r="CY125" s="25"/>
      <c r="DI125" s="25"/>
      <c r="DS125" s="25"/>
      <c r="EC125" s="25"/>
      <c r="EM125" s="25"/>
      <c r="EW125" s="25"/>
      <c r="EZ125" s="32" t="str">
        <f aca="false">IF(AND(D125&gt;=2026,C125&lt;D125),"▶","")</f>
        <v>▶</v>
      </c>
    </row>
    <row r="126" customFormat="false" ht="12.75" hidden="false" customHeight="true" outlineLevel="0" collapsed="false">
      <c r="A126" s="19" t="s">
        <v>134</v>
      </c>
      <c r="B126" s="27" t="s">
        <v>181</v>
      </c>
      <c r="C126" s="21" t="n">
        <v>1744</v>
      </c>
      <c r="D126" s="21" t="n">
        <v>1818</v>
      </c>
      <c r="E126" s="22" t="str">
        <f aca="false">IF(C126=D126,"событие",IF(D126&gt;=2026,IF(A126="Личности","жив","существует"),"в прошлом"))</f>
        <v>в прошлом</v>
      </c>
      <c r="F126" s="23" t="n">
        <f aca="false">IF(C126=D126,"",D126-C126)</f>
        <v>74</v>
      </c>
      <c r="G126" s="23"/>
      <c r="H126" s="19" t="s">
        <v>182</v>
      </c>
      <c r="I126" s="24"/>
      <c r="M126" s="25"/>
      <c r="W126" s="25"/>
      <c r="AG126" s="25"/>
      <c r="AQ126" s="25"/>
      <c r="BA126" s="25"/>
      <c r="BK126" s="25"/>
      <c r="BU126" s="25"/>
      <c r="CE126" s="25"/>
      <c r="CO126" s="25"/>
      <c r="CY126" s="25"/>
      <c r="DI126" s="25"/>
      <c r="DS126" s="25"/>
      <c r="EC126" s="25"/>
      <c r="EM126" s="25"/>
      <c r="EW126" s="25"/>
      <c r="EZ126" s="36" t="str">
        <f aca="false">IF(AND(D126&gt;=2026,C126&lt;D126),"▶","")</f>
        <v/>
      </c>
    </row>
    <row r="127" customFormat="false" ht="12.75" hidden="false" customHeight="true" outlineLevel="0" collapsed="false">
      <c r="A127" s="19" t="s">
        <v>134</v>
      </c>
      <c r="B127" s="27" t="s">
        <v>183</v>
      </c>
      <c r="C127" s="21" t="n">
        <v>1744</v>
      </c>
      <c r="D127" s="21" t="n">
        <v>2026</v>
      </c>
      <c r="E127" s="22" t="str">
        <f aca="false">IF(C127=D127,"событие",IF(D127&gt;=2026,IF(A127="Личности","жив","существует"),"в прошлом"))</f>
        <v>существует</v>
      </c>
      <c r="F127" s="23" t="n">
        <f aca="false">IF(C127=D127,"",D127-C127)</f>
        <v>282</v>
      </c>
      <c r="G127" s="23"/>
      <c r="H127" s="19" t="s">
        <v>143</v>
      </c>
      <c r="I127" s="24"/>
      <c r="M127" s="25"/>
      <c r="W127" s="25"/>
      <c r="AG127" s="25"/>
      <c r="AQ127" s="25"/>
      <c r="BA127" s="25"/>
      <c r="BK127" s="25"/>
      <c r="BU127" s="25"/>
      <c r="CE127" s="25"/>
      <c r="CO127" s="25"/>
      <c r="CY127" s="25"/>
      <c r="DI127" s="25"/>
      <c r="DS127" s="25"/>
      <c r="EC127" s="25"/>
      <c r="EM127" s="25"/>
      <c r="EW127" s="25"/>
      <c r="EZ127" s="33" t="str">
        <f aca="false">IF(AND(D127&gt;=2026,C127&lt;D127),"▶","")</f>
        <v>▶</v>
      </c>
    </row>
    <row r="128" customFormat="false" ht="12.75" hidden="false" customHeight="true" outlineLevel="0" collapsed="false">
      <c r="A128" s="19" t="s">
        <v>134</v>
      </c>
      <c r="B128" s="27" t="s">
        <v>184</v>
      </c>
      <c r="C128" s="21" t="n">
        <v>1789</v>
      </c>
      <c r="D128" s="21" t="n">
        <v>1925</v>
      </c>
      <c r="E128" s="22" t="str">
        <f aca="false">IF(C128=D128,"событие",IF(D128&gt;=2026,IF(A128="Личности","жив","существует"),"в прошлом"))</f>
        <v>в прошлом</v>
      </c>
      <c r="F128" s="23" t="n">
        <f aca="false">IF(C128=D128,"",D128-C128)</f>
        <v>136</v>
      </c>
      <c r="G128" s="23"/>
      <c r="H128" s="19" t="s">
        <v>150</v>
      </c>
      <c r="I128" s="24"/>
      <c r="M128" s="25"/>
      <c r="W128" s="25"/>
      <c r="AG128" s="25"/>
      <c r="AQ128" s="25"/>
      <c r="BA128" s="25"/>
      <c r="BK128" s="25"/>
      <c r="BU128" s="25"/>
      <c r="CE128" s="25"/>
      <c r="CO128" s="25"/>
      <c r="CY128" s="25"/>
      <c r="DI128" s="25"/>
      <c r="DS128" s="25"/>
      <c r="EC128" s="25"/>
      <c r="EM128" s="25"/>
      <c r="EW128" s="25"/>
      <c r="EZ128" s="35" t="str">
        <f aca="false">IF(AND(D128&gt;=2026,C128&lt;D128),"▶","")</f>
        <v/>
      </c>
    </row>
    <row r="129" customFormat="false" ht="12.75" hidden="false" customHeight="true" outlineLevel="0" collapsed="false">
      <c r="A129" s="19" t="s">
        <v>134</v>
      </c>
      <c r="B129" s="27" t="s">
        <v>185</v>
      </c>
      <c r="C129" s="21" t="n">
        <v>1804</v>
      </c>
      <c r="D129" s="21" t="n">
        <v>1903</v>
      </c>
      <c r="E129" s="22" t="str">
        <f aca="false">IF(C129=D129,"событие",IF(D129&gt;=2026,IF(A129="Личности","жив","существует"),"в прошлом"))</f>
        <v>в прошлом</v>
      </c>
      <c r="F129" s="23" t="n">
        <f aca="false">IF(C129=D129,"",D129-C129)</f>
        <v>99</v>
      </c>
      <c r="G129" s="23"/>
      <c r="H129" s="19" t="s">
        <v>139</v>
      </c>
      <c r="I129" s="24"/>
      <c r="M129" s="25"/>
      <c r="W129" s="25"/>
      <c r="AG129" s="25"/>
      <c r="AQ129" s="25"/>
      <c r="BA129" s="25"/>
      <c r="BK129" s="25"/>
      <c r="BU129" s="25"/>
      <c r="CE129" s="25"/>
      <c r="CO129" s="25"/>
      <c r="CY129" s="25"/>
      <c r="DI129" s="25"/>
      <c r="DS129" s="25"/>
      <c r="EC129" s="25"/>
      <c r="EM129" s="25"/>
      <c r="EW129" s="25"/>
      <c r="EZ129" s="32" t="str">
        <f aca="false">IF(AND(D129&gt;=2026,C129&lt;D129),"▶","")</f>
        <v/>
      </c>
    </row>
    <row r="130" customFormat="false" ht="12.75" hidden="false" customHeight="true" outlineLevel="0" collapsed="false">
      <c r="A130" s="19" t="s">
        <v>134</v>
      </c>
      <c r="B130" s="27" t="s">
        <v>186</v>
      </c>
      <c r="C130" s="21" t="n">
        <v>1824</v>
      </c>
      <c r="D130" s="21" t="n">
        <v>1891</v>
      </c>
      <c r="E130" s="22" t="str">
        <f aca="false">IF(C130=D130,"событие",IF(D130&gt;=2026,IF(A130="Личности","жив","существует"),"в прошлом"))</f>
        <v>в прошлом</v>
      </c>
      <c r="F130" s="23" t="n">
        <f aca="false">IF(C130=D130,"",D130-C130)</f>
        <v>67</v>
      </c>
      <c r="G130" s="23"/>
      <c r="H130" s="19" t="s">
        <v>182</v>
      </c>
      <c r="I130" s="24"/>
      <c r="M130" s="25"/>
      <c r="W130" s="25"/>
      <c r="AG130" s="25"/>
      <c r="AQ130" s="25"/>
      <c r="BA130" s="25"/>
      <c r="BK130" s="25"/>
      <c r="BU130" s="25"/>
      <c r="CE130" s="25"/>
      <c r="CO130" s="25"/>
      <c r="CY130" s="25"/>
      <c r="DI130" s="25"/>
      <c r="DS130" s="25"/>
      <c r="EC130" s="25"/>
      <c r="EM130" s="25"/>
      <c r="EW130" s="25"/>
      <c r="EZ130" s="36" t="str">
        <f aca="false">IF(AND(D130&gt;=2026,C130&lt;D130),"▶","")</f>
        <v/>
      </c>
    </row>
    <row r="131" customFormat="false" ht="12.75" hidden="false" customHeight="true" outlineLevel="0" collapsed="false">
      <c r="A131" s="19" t="s">
        <v>134</v>
      </c>
      <c r="B131" s="27" t="s">
        <v>187</v>
      </c>
      <c r="C131" s="21" t="n">
        <v>1881</v>
      </c>
      <c r="D131" s="21" t="n">
        <v>1898</v>
      </c>
      <c r="E131" s="22" t="str">
        <f aca="false">IF(C131=D131,"событие",IF(D131&gt;=2026,IF(A131="Личности","жив","существует"),"в прошлом"))</f>
        <v>в прошлом</v>
      </c>
      <c r="F131" s="23" t="n">
        <f aca="false">IF(C131=D131,"",D131-C131)</f>
        <v>17</v>
      </c>
      <c r="G131" s="23"/>
      <c r="H131" s="19" t="s">
        <v>139</v>
      </c>
      <c r="I131" s="24"/>
      <c r="M131" s="25"/>
      <c r="W131" s="25"/>
      <c r="AG131" s="25"/>
      <c r="AQ131" s="25"/>
      <c r="BA131" s="25"/>
      <c r="BK131" s="25"/>
      <c r="BU131" s="25"/>
      <c r="CE131" s="25"/>
      <c r="CO131" s="25"/>
      <c r="CY131" s="25"/>
      <c r="DI131" s="25"/>
      <c r="DS131" s="25"/>
      <c r="EC131" s="25"/>
      <c r="EM131" s="25"/>
      <c r="EW131" s="25"/>
      <c r="EZ131" s="32" t="str">
        <f aca="false">IF(AND(D131&gt;=2026,C131&lt;D131),"▶","")</f>
        <v/>
      </c>
    </row>
    <row r="132" customFormat="false" ht="12.75" hidden="false" customHeight="true" outlineLevel="0" collapsed="false">
      <c r="A132" s="19" t="s">
        <v>134</v>
      </c>
      <c r="B132" s="27" t="s">
        <v>118</v>
      </c>
      <c r="C132" s="21" t="n">
        <v>1932</v>
      </c>
      <c r="D132" s="21" t="n">
        <v>2026</v>
      </c>
      <c r="E132" s="22" t="str">
        <f aca="false">IF(C132=D132,"событие",IF(D132&gt;=2026,IF(A132="Личности","жив","существует"),"в прошлом"))</f>
        <v>существует</v>
      </c>
      <c r="F132" s="23" t="n">
        <f aca="false">IF(C132=D132,"",D132-C132)</f>
        <v>94</v>
      </c>
      <c r="G132" s="23"/>
      <c r="H132" s="19" t="s">
        <v>182</v>
      </c>
      <c r="I132" s="24"/>
      <c r="M132" s="25"/>
      <c r="W132" s="25"/>
      <c r="AG132" s="25"/>
      <c r="AQ132" s="25"/>
      <c r="BA132" s="25"/>
      <c r="BK132" s="25"/>
      <c r="BU132" s="25"/>
      <c r="CE132" s="25"/>
      <c r="CO132" s="25"/>
      <c r="CY132" s="25"/>
      <c r="DI132" s="25"/>
      <c r="DS132" s="25"/>
      <c r="EC132" s="25"/>
      <c r="EM132" s="25"/>
      <c r="EW132" s="25"/>
      <c r="EZ132" s="36" t="str">
        <f aca="false">IF(AND(D132&gt;=2026,C132&lt;D132),"▶","")</f>
        <v>▶</v>
      </c>
    </row>
    <row r="133" customFormat="false" ht="12.75" hidden="false" customHeight="true" outlineLevel="0" collapsed="false">
      <c r="A133" s="19" t="s">
        <v>134</v>
      </c>
      <c r="B133" s="27" t="s">
        <v>119</v>
      </c>
      <c r="C133" s="21" t="n">
        <v>1947</v>
      </c>
      <c r="D133" s="21" t="n">
        <v>2026</v>
      </c>
      <c r="E133" s="22" t="str">
        <f aca="false">IF(C133=D133,"событие",IF(D133&gt;=2026,IF(A133="Личности","жив","существует"),"в прошлом"))</f>
        <v>существует</v>
      </c>
      <c r="F133" s="23" t="n">
        <f aca="false">IF(C133=D133,"",D133-C133)</f>
        <v>79</v>
      </c>
      <c r="G133" s="23"/>
      <c r="H133" s="19" t="s">
        <v>139</v>
      </c>
      <c r="I133" s="24"/>
      <c r="M133" s="25"/>
      <c r="W133" s="25"/>
      <c r="AG133" s="25"/>
      <c r="AQ133" s="25"/>
      <c r="BA133" s="25"/>
      <c r="BK133" s="25"/>
      <c r="BU133" s="25"/>
      <c r="CE133" s="25"/>
      <c r="CO133" s="25"/>
      <c r="CY133" s="25"/>
      <c r="DI133" s="25"/>
      <c r="DS133" s="25"/>
      <c r="EC133" s="25"/>
      <c r="EM133" s="25"/>
      <c r="EW133" s="25"/>
      <c r="EZ133" s="32" t="str">
        <f aca="false">IF(AND(D133&gt;=2026,C133&lt;D133),"▶","")</f>
        <v>▶</v>
      </c>
    </row>
    <row r="134" customFormat="false" ht="12.75" hidden="false" customHeight="true" outlineLevel="0" collapsed="false">
      <c r="A134" s="19" t="s">
        <v>134</v>
      </c>
      <c r="B134" s="27" t="s">
        <v>188</v>
      </c>
      <c r="C134" s="21" t="n">
        <v>1979</v>
      </c>
      <c r="D134" s="21" t="n">
        <v>2026</v>
      </c>
      <c r="E134" s="22" t="str">
        <f aca="false">IF(C134=D134,"событие",IF(D134&gt;=2026,IF(A134="Личности","жив","существует"),"в прошлом"))</f>
        <v>существует</v>
      </c>
      <c r="F134" s="23" t="n">
        <f aca="false">IF(C134=D134,"",D134-C134)</f>
        <v>47</v>
      </c>
      <c r="G134" s="23"/>
      <c r="H134" s="19" t="s">
        <v>150</v>
      </c>
      <c r="I134" s="24"/>
      <c r="M134" s="25"/>
      <c r="W134" s="25"/>
      <c r="AG134" s="25"/>
      <c r="AQ134" s="25"/>
      <c r="BA134" s="25"/>
      <c r="BK134" s="25"/>
      <c r="BU134" s="25"/>
      <c r="CE134" s="25"/>
      <c r="CO134" s="25"/>
      <c r="CY134" s="25"/>
      <c r="DI134" s="25"/>
      <c r="DS134" s="25"/>
      <c r="EC134" s="25"/>
      <c r="EM134" s="25"/>
      <c r="EW134" s="25"/>
      <c r="EZ134" s="35" t="str">
        <f aca="false">IF(AND(D134&gt;=2026,C134&lt;D134),"▶","")</f>
        <v>▶</v>
      </c>
    </row>
    <row r="135" customFormat="false" ht="12.75" hidden="false" customHeight="true" outlineLevel="0" collapsed="false">
      <c r="A135" s="19" t="s">
        <v>134</v>
      </c>
      <c r="B135" s="27" t="s">
        <v>189</v>
      </c>
      <c r="C135" s="21" t="n">
        <v>1996</v>
      </c>
      <c r="D135" s="21" t="n">
        <v>2001</v>
      </c>
      <c r="E135" s="22" t="str">
        <f aca="false">IF(C135=D135,"событие",IF(D135&gt;=2026,IF(A135="Личности","жив","существует"),"в прошлом"))</f>
        <v>в прошлом</v>
      </c>
      <c r="F135" s="23" t="n">
        <f aca="false">IF(C135=D135,"",D135-C135)</f>
        <v>5</v>
      </c>
      <c r="G135" s="23"/>
      <c r="H135" s="19" t="s">
        <v>139</v>
      </c>
      <c r="I135" s="24"/>
      <c r="M135" s="25"/>
      <c r="W135" s="25"/>
      <c r="AG135" s="25"/>
      <c r="AQ135" s="25"/>
      <c r="BA135" s="25"/>
      <c r="BK135" s="25"/>
      <c r="BU135" s="25"/>
      <c r="CE135" s="25"/>
      <c r="CO135" s="25"/>
      <c r="CY135" s="25"/>
      <c r="DI135" s="25"/>
      <c r="DS135" s="25"/>
      <c r="EC135" s="25"/>
      <c r="EM135" s="25"/>
      <c r="EW135" s="25"/>
      <c r="EZ135" s="32" t="str">
        <f aca="false">IF(AND(D135&gt;=2026,C135&lt;D135),"▶","")</f>
        <v/>
      </c>
    </row>
    <row r="136" customFormat="false" ht="12.75" hidden="false" customHeight="true" outlineLevel="0" collapsed="false">
      <c r="A136" s="19" t="s">
        <v>134</v>
      </c>
      <c r="B136" s="27" t="s">
        <v>189</v>
      </c>
      <c r="C136" s="21" t="n">
        <v>2021</v>
      </c>
      <c r="D136" s="21" t="n">
        <v>2026</v>
      </c>
      <c r="E136" s="22" t="str">
        <f aca="false">IF(C136=D136,"событие",IF(D136&gt;=2026,IF(A136="Личности","жив","существует"),"в прошлом"))</f>
        <v>существует</v>
      </c>
      <c r="F136" s="23" t="n">
        <f aca="false">IF(C136=D136,"",D136-C136)</f>
        <v>5</v>
      </c>
      <c r="G136" s="23"/>
      <c r="H136" s="19" t="s">
        <v>139</v>
      </c>
      <c r="I136" s="24"/>
      <c r="M136" s="25"/>
      <c r="W136" s="25"/>
      <c r="AG136" s="25"/>
      <c r="AQ136" s="25"/>
      <c r="BA136" s="25"/>
      <c r="BK136" s="25"/>
      <c r="BU136" s="25"/>
      <c r="CE136" s="25"/>
      <c r="CO136" s="25"/>
      <c r="CY136" s="25"/>
      <c r="DI136" s="25"/>
      <c r="DS136" s="25"/>
      <c r="EC136" s="25"/>
      <c r="EM136" s="25"/>
      <c r="EW136" s="25"/>
      <c r="EZ136" s="32" t="str">
        <f aca="false">IF(AND(D136&gt;=2026,C136&lt;D136),"▶","")</f>
        <v>▶</v>
      </c>
    </row>
    <row r="137" customFormat="false" ht="21.75" hidden="false" customHeight="true" outlineLevel="0" collapsed="false">
      <c r="A137" s="37" t="s">
        <v>190</v>
      </c>
      <c r="B137" s="38" t="s">
        <v>191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40"/>
      <c r="N137" s="39"/>
      <c r="O137" s="39"/>
      <c r="P137" s="39"/>
      <c r="Q137" s="39"/>
      <c r="R137" s="39"/>
      <c r="S137" s="39"/>
      <c r="T137" s="39"/>
      <c r="U137" s="39"/>
      <c r="V137" s="39"/>
      <c r="W137" s="40"/>
      <c r="X137" s="39"/>
      <c r="Y137" s="39"/>
      <c r="Z137" s="39"/>
      <c r="AA137" s="39"/>
      <c r="AB137" s="39"/>
      <c r="AC137" s="39"/>
      <c r="AD137" s="39"/>
      <c r="AE137" s="39"/>
      <c r="AF137" s="39"/>
      <c r="AG137" s="40"/>
      <c r="AH137" s="39"/>
      <c r="AI137" s="39"/>
      <c r="AJ137" s="39"/>
      <c r="AK137" s="39"/>
      <c r="AL137" s="39"/>
      <c r="AM137" s="39"/>
      <c r="AN137" s="39"/>
      <c r="AO137" s="39"/>
      <c r="AP137" s="39"/>
      <c r="AQ137" s="40"/>
      <c r="AR137" s="39"/>
      <c r="AS137" s="39"/>
      <c r="AT137" s="39"/>
      <c r="AU137" s="39"/>
      <c r="AV137" s="39"/>
      <c r="AW137" s="39"/>
      <c r="AX137" s="39"/>
      <c r="AY137" s="39"/>
      <c r="AZ137" s="39"/>
      <c r="BA137" s="40"/>
      <c r="BB137" s="39"/>
      <c r="BC137" s="39"/>
      <c r="BD137" s="39"/>
      <c r="BE137" s="39"/>
      <c r="BF137" s="39"/>
      <c r="BG137" s="39"/>
      <c r="BH137" s="39"/>
      <c r="BI137" s="39"/>
      <c r="BJ137" s="39"/>
      <c r="BK137" s="40"/>
      <c r="BL137" s="39"/>
      <c r="BM137" s="39"/>
      <c r="BN137" s="39"/>
      <c r="BO137" s="39"/>
      <c r="BP137" s="39"/>
      <c r="BQ137" s="39"/>
      <c r="BR137" s="39"/>
      <c r="BS137" s="39"/>
      <c r="BT137" s="39"/>
      <c r="BU137" s="40"/>
      <c r="BV137" s="39"/>
      <c r="BW137" s="39"/>
      <c r="BX137" s="39"/>
      <c r="BY137" s="39"/>
      <c r="BZ137" s="39"/>
      <c r="CA137" s="39"/>
      <c r="CB137" s="39"/>
      <c r="CC137" s="39"/>
      <c r="CD137" s="39"/>
      <c r="CE137" s="40"/>
      <c r="CF137" s="39"/>
      <c r="CG137" s="39"/>
      <c r="CH137" s="39"/>
      <c r="CI137" s="39"/>
      <c r="CJ137" s="39"/>
      <c r="CK137" s="39"/>
      <c r="CL137" s="39"/>
      <c r="CM137" s="39"/>
      <c r="CN137" s="39"/>
      <c r="CO137" s="40"/>
      <c r="CP137" s="39"/>
      <c r="CQ137" s="39"/>
      <c r="CR137" s="39"/>
      <c r="CS137" s="39"/>
      <c r="CT137" s="39"/>
      <c r="CU137" s="39"/>
      <c r="CV137" s="39"/>
      <c r="CW137" s="39"/>
      <c r="CX137" s="39"/>
      <c r="CY137" s="40"/>
      <c r="CZ137" s="39"/>
      <c r="DA137" s="39"/>
      <c r="DB137" s="39"/>
      <c r="DC137" s="39"/>
      <c r="DD137" s="39"/>
      <c r="DE137" s="39"/>
      <c r="DF137" s="39"/>
      <c r="DG137" s="39"/>
      <c r="DH137" s="39"/>
      <c r="DI137" s="40"/>
      <c r="DJ137" s="39"/>
      <c r="DK137" s="39"/>
      <c r="DL137" s="39"/>
      <c r="DM137" s="39"/>
      <c r="DN137" s="39"/>
      <c r="DO137" s="39"/>
      <c r="DP137" s="39"/>
      <c r="DQ137" s="39"/>
      <c r="DR137" s="39"/>
      <c r="DS137" s="40"/>
      <c r="DT137" s="39"/>
      <c r="DU137" s="39"/>
      <c r="DV137" s="39"/>
      <c r="DW137" s="39"/>
      <c r="DX137" s="39"/>
      <c r="DY137" s="39"/>
      <c r="DZ137" s="39"/>
      <c r="EA137" s="39"/>
      <c r="EB137" s="39"/>
      <c r="EC137" s="40"/>
      <c r="ED137" s="39"/>
      <c r="EE137" s="39"/>
      <c r="EF137" s="39"/>
      <c r="EG137" s="39"/>
      <c r="EH137" s="39"/>
      <c r="EI137" s="39"/>
      <c r="EJ137" s="39"/>
      <c r="EK137" s="39"/>
      <c r="EL137" s="39"/>
      <c r="EM137" s="40"/>
      <c r="EN137" s="39"/>
      <c r="EO137" s="39"/>
      <c r="EP137" s="39"/>
      <c r="EQ137" s="39"/>
      <c r="ER137" s="39"/>
      <c r="ES137" s="39"/>
      <c r="ET137" s="39"/>
      <c r="EU137" s="39"/>
      <c r="EV137" s="39"/>
      <c r="EW137" s="40"/>
      <c r="EX137" s="39"/>
      <c r="EY137" s="39"/>
      <c r="EZ137" s="39"/>
    </row>
    <row r="138" customFormat="false" ht="12.75" hidden="false" customHeight="true" outlineLevel="0" collapsed="false">
      <c r="A138" s="19" t="s">
        <v>192</v>
      </c>
      <c r="B138" s="27" t="s">
        <v>193</v>
      </c>
      <c r="C138" s="21" t="n">
        <v>657</v>
      </c>
      <c r="D138" s="21" t="n">
        <v>658</v>
      </c>
      <c r="E138" s="22" t="str">
        <f aca="false">IF(C138=D138,"событие",IF(D138&gt;=2026,IF(A138="Личности","жив","существует"),"в прошлом"))</f>
        <v>в прошлом</v>
      </c>
      <c r="F138" s="23" t="n">
        <f aca="false">IF(C138=D138,"",D138-C138)</f>
        <v>1</v>
      </c>
      <c r="G138" s="23"/>
      <c r="H138" s="19" t="s">
        <v>143</v>
      </c>
      <c r="I138" s="24"/>
      <c r="M138" s="25"/>
      <c r="W138" s="25"/>
      <c r="AG138" s="25"/>
      <c r="AQ138" s="25"/>
      <c r="BA138" s="25"/>
      <c r="BK138" s="25"/>
      <c r="BU138" s="25"/>
      <c r="CE138" s="25"/>
      <c r="CO138" s="25"/>
      <c r="CY138" s="25"/>
      <c r="DI138" s="25"/>
      <c r="DS138" s="25"/>
      <c r="EC138" s="25"/>
      <c r="EM138" s="25"/>
      <c r="EW138" s="25"/>
      <c r="EZ138" s="33" t="str">
        <f aca="false">IF(AND(D138&gt;=2026,C138&lt;D138),"▶","")</f>
        <v/>
      </c>
    </row>
    <row r="139" customFormat="false" ht="12.75" hidden="false" customHeight="true" outlineLevel="0" collapsed="false">
      <c r="A139" s="19" t="s">
        <v>192</v>
      </c>
      <c r="B139" s="27" t="s">
        <v>194</v>
      </c>
      <c r="C139" s="21" t="n">
        <v>684</v>
      </c>
      <c r="D139" s="21" t="n">
        <v>699</v>
      </c>
      <c r="E139" s="22" t="str">
        <f aca="false">IF(C139=D139,"событие",IF(D139&gt;=2026,IF(A139="Личности","жив","существует"),"в прошлом"))</f>
        <v>в прошлом</v>
      </c>
      <c r="F139" s="23" t="n">
        <f aca="false">IF(C139=D139,"",D139-C139)</f>
        <v>15</v>
      </c>
      <c r="G139" s="23" t="s">
        <v>195</v>
      </c>
      <c r="H139" s="19" t="s">
        <v>143</v>
      </c>
      <c r="I139" s="24"/>
      <c r="M139" s="25"/>
      <c r="W139" s="25"/>
      <c r="AG139" s="25"/>
      <c r="AQ139" s="25"/>
      <c r="BA139" s="25"/>
      <c r="BK139" s="25"/>
      <c r="BU139" s="25"/>
      <c r="CE139" s="25"/>
      <c r="CO139" s="25"/>
      <c r="CY139" s="25"/>
      <c r="DI139" s="25"/>
      <c r="DS139" s="25"/>
      <c r="EC139" s="25"/>
      <c r="EM139" s="25"/>
      <c r="EW139" s="25"/>
      <c r="EZ139" s="33" t="str">
        <f aca="false">IF(AND(D139&gt;=2026,C139&lt;D139),"▶","")</f>
        <v/>
      </c>
    </row>
    <row r="140" customFormat="false" ht="12.75" hidden="false" customHeight="true" outlineLevel="0" collapsed="false">
      <c r="A140" s="19" t="s">
        <v>192</v>
      </c>
      <c r="B140" s="27" t="s">
        <v>196</v>
      </c>
      <c r="C140" s="21" t="n">
        <v>686</v>
      </c>
      <c r="D140" s="21" t="n">
        <v>693</v>
      </c>
      <c r="E140" s="22" t="str">
        <f aca="false">IF(C140=D140,"событие",IF(D140&gt;=2026,IF(A140="Личности","жив","существует"),"в прошлом"))</f>
        <v>в прошлом</v>
      </c>
      <c r="F140" s="23" t="n">
        <f aca="false">IF(C140=D140,"",D140-C140)</f>
        <v>7</v>
      </c>
      <c r="G140" s="23" t="s">
        <v>195</v>
      </c>
      <c r="H140" s="19" t="s">
        <v>143</v>
      </c>
      <c r="I140" s="24"/>
      <c r="M140" s="25"/>
      <c r="W140" s="25"/>
      <c r="AG140" s="25"/>
      <c r="AQ140" s="25"/>
      <c r="BA140" s="25"/>
      <c r="BK140" s="25"/>
      <c r="BU140" s="25"/>
      <c r="CE140" s="25"/>
      <c r="CO140" s="25"/>
      <c r="CY140" s="25"/>
      <c r="DI140" s="25"/>
      <c r="DS140" s="25"/>
      <c r="EC140" s="25"/>
      <c r="EM140" s="25"/>
      <c r="EW140" s="25"/>
      <c r="EZ140" s="33" t="str">
        <f aca="false">IF(AND(D140&gt;=2026,C140&lt;D140),"▶","")</f>
        <v/>
      </c>
    </row>
    <row r="141" customFormat="false" ht="12.75" hidden="false" customHeight="true" outlineLevel="0" collapsed="false">
      <c r="A141" s="19" t="s">
        <v>192</v>
      </c>
      <c r="B141" s="27" t="s">
        <v>197</v>
      </c>
      <c r="C141" s="21" t="n">
        <v>690</v>
      </c>
      <c r="D141" s="21" t="n">
        <v>960</v>
      </c>
      <c r="E141" s="22" t="str">
        <f aca="false">IF(C141=D141,"событие",IF(D141&gt;=2026,IF(A141="Личности","жив","существует"),"в прошлом"))</f>
        <v>в прошлом</v>
      </c>
      <c r="F141" s="23" t="n">
        <f aca="false">IF(C141=D141,"",D141-C141)</f>
        <v>270</v>
      </c>
      <c r="G141" s="23" t="s">
        <v>195</v>
      </c>
      <c r="H141" s="19" t="s">
        <v>143</v>
      </c>
      <c r="I141" s="24"/>
      <c r="M141" s="25"/>
      <c r="W141" s="25"/>
      <c r="AG141" s="25"/>
      <c r="AQ141" s="25"/>
      <c r="BA141" s="25"/>
      <c r="BK141" s="25"/>
      <c r="BU141" s="25"/>
      <c r="CE141" s="25"/>
      <c r="CO141" s="25"/>
      <c r="CY141" s="25"/>
      <c r="DI141" s="25"/>
      <c r="DS141" s="25"/>
      <c r="EC141" s="25"/>
      <c r="EM141" s="25"/>
      <c r="EW141" s="25"/>
      <c r="EZ141" s="33" t="str">
        <f aca="false">IF(AND(D141&gt;=2026,C141&lt;D141),"▶","")</f>
        <v/>
      </c>
    </row>
    <row r="142" customFormat="false" ht="12.75" hidden="false" customHeight="true" outlineLevel="0" collapsed="false">
      <c r="A142" s="19" t="s">
        <v>192</v>
      </c>
      <c r="B142" s="27" t="s">
        <v>198</v>
      </c>
      <c r="C142" s="21" t="n">
        <v>690</v>
      </c>
      <c r="D142" s="21" t="n">
        <v>2026</v>
      </c>
      <c r="E142" s="22" t="str">
        <f aca="false">IF(C142=D142,"событие",IF(D142&gt;=2026,IF(A142="Личности","жив","существует"),"в прошлом"))</f>
        <v>существует</v>
      </c>
      <c r="F142" s="23" t="n">
        <f aca="false">IF(C142=D142,"",D142-C142)</f>
        <v>1336</v>
      </c>
      <c r="G142" s="23" t="s">
        <v>195</v>
      </c>
      <c r="H142" s="19" t="s">
        <v>143</v>
      </c>
      <c r="I142" s="24"/>
      <c r="M142" s="25"/>
      <c r="W142" s="25"/>
      <c r="AG142" s="25"/>
      <c r="AQ142" s="25"/>
      <c r="BA142" s="25"/>
      <c r="BK142" s="25"/>
      <c r="BU142" s="25"/>
      <c r="CE142" s="25"/>
      <c r="CO142" s="25"/>
      <c r="CY142" s="25"/>
      <c r="DI142" s="25"/>
      <c r="DS142" s="25"/>
      <c r="EC142" s="25"/>
      <c r="EM142" s="25"/>
      <c r="EW142" s="25"/>
      <c r="EZ142" s="33" t="str">
        <f aca="false">IF(AND(D142&gt;=2026,C142&lt;D142),"▶","")</f>
        <v>▶</v>
      </c>
    </row>
    <row r="143" customFormat="false" ht="12.75" hidden="false" customHeight="true" outlineLevel="0" collapsed="false">
      <c r="A143" s="19" t="s">
        <v>192</v>
      </c>
      <c r="B143" s="27" t="s">
        <v>199</v>
      </c>
      <c r="C143" s="21" t="n">
        <v>720</v>
      </c>
      <c r="D143" s="21" t="n">
        <v>900</v>
      </c>
      <c r="E143" s="22" t="str">
        <f aca="false">IF(C143=D143,"событие",IF(D143&gt;=2026,IF(A143="Личности","жив","существует"),"в прошлом"))</f>
        <v>в прошлом</v>
      </c>
      <c r="F143" s="23" t="n">
        <f aca="false">IF(C143=D143,"",D143-C143)</f>
        <v>180</v>
      </c>
      <c r="G143" s="23" t="s">
        <v>195</v>
      </c>
      <c r="H143" s="19" t="s">
        <v>143</v>
      </c>
      <c r="I143" s="24"/>
      <c r="M143" s="25"/>
      <c r="W143" s="25"/>
      <c r="AG143" s="25"/>
      <c r="AQ143" s="25"/>
      <c r="BA143" s="25"/>
      <c r="BK143" s="25"/>
      <c r="BU143" s="25"/>
      <c r="CE143" s="25"/>
      <c r="CO143" s="25"/>
      <c r="CY143" s="25"/>
      <c r="DI143" s="25"/>
      <c r="DS143" s="25"/>
      <c r="EC143" s="25"/>
      <c r="EM143" s="25"/>
      <c r="EW143" s="25"/>
      <c r="EZ143" s="33" t="str">
        <f aca="false">IF(AND(D143&gt;=2026,C143&lt;D143),"▶","")</f>
        <v/>
      </c>
    </row>
    <row r="144" customFormat="false" ht="12.75" hidden="false" customHeight="true" outlineLevel="0" collapsed="false">
      <c r="A144" s="19" t="s">
        <v>192</v>
      </c>
      <c r="B144" s="27" t="s">
        <v>200</v>
      </c>
      <c r="C144" s="21" t="n">
        <v>784</v>
      </c>
      <c r="D144" s="21" t="n">
        <v>1900</v>
      </c>
      <c r="E144" s="22" t="str">
        <f aca="false">IF(C144=D144,"событие",IF(D144&gt;=2026,IF(A144="Личности","жив","существует"),"в прошлом"))</f>
        <v>в прошлом</v>
      </c>
      <c r="F144" s="23" t="n">
        <f aca="false">IF(C144=D144,"",D144-C144)</f>
        <v>1116</v>
      </c>
      <c r="G144" s="23" t="s">
        <v>201</v>
      </c>
      <c r="H144" s="19" t="s">
        <v>143</v>
      </c>
      <c r="I144" s="24"/>
      <c r="M144" s="25"/>
      <c r="W144" s="25"/>
      <c r="AG144" s="25"/>
      <c r="AQ144" s="25"/>
      <c r="BA144" s="25"/>
      <c r="BK144" s="25"/>
      <c r="BU144" s="25"/>
      <c r="CE144" s="25"/>
      <c r="CO144" s="25"/>
      <c r="CY144" s="25"/>
      <c r="DI144" s="25"/>
      <c r="DS144" s="25"/>
      <c r="EC144" s="25"/>
      <c r="EM144" s="25"/>
      <c r="EW144" s="25"/>
      <c r="EZ144" s="33" t="str">
        <f aca="false">IF(AND(D144&gt;=2026,C144&lt;D144),"▶","")</f>
        <v/>
      </c>
    </row>
    <row r="145" customFormat="false" ht="21.75" hidden="false" customHeight="true" outlineLevel="0" collapsed="false">
      <c r="A145" s="41" t="s">
        <v>202</v>
      </c>
      <c r="B145" s="42" t="s">
        <v>203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4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X145" s="43"/>
      <c r="Y145" s="43"/>
      <c r="Z145" s="43"/>
      <c r="AA145" s="43"/>
      <c r="AB145" s="43"/>
      <c r="AC145" s="43"/>
      <c r="AD145" s="43"/>
      <c r="AE145" s="43"/>
      <c r="AF145" s="43"/>
      <c r="AG145" s="44"/>
      <c r="AH145" s="43"/>
      <c r="AI145" s="43"/>
      <c r="AJ145" s="43"/>
      <c r="AK145" s="43"/>
      <c r="AL145" s="43"/>
      <c r="AM145" s="43"/>
      <c r="AN145" s="43"/>
      <c r="AO145" s="43"/>
      <c r="AP145" s="43"/>
      <c r="AQ145" s="44"/>
      <c r="AR145" s="43"/>
      <c r="AS145" s="43"/>
      <c r="AT145" s="43"/>
      <c r="AU145" s="43"/>
      <c r="AV145" s="43"/>
      <c r="AW145" s="43"/>
      <c r="AX145" s="43"/>
      <c r="AY145" s="43"/>
      <c r="AZ145" s="43"/>
      <c r="BA145" s="44"/>
      <c r="BB145" s="43"/>
      <c r="BC145" s="43"/>
      <c r="BD145" s="43"/>
      <c r="BE145" s="43"/>
      <c r="BF145" s="43"/>
      <c r="BG145" s="43"/>
      <c r="BH145" s="43"/>
      <c r="BI145" s="43"/>
      <c r="BJ145" s="43"/>
      <c r="BK145" s="44"/>
      <c r="BL145" s="43"/>
      <c r="BM145" s="43"/>
      <c r="BN145" s="43"/>
      <c r="BO145" s="43"/>
      <c r="BP145" s="43"/>
      <c r="BQ145" s="43"/>
      <c r="BR145" s="43"/>
      <c r="BS145" s="43"/>
      <c r="BT145" s="43"/>
      <c r="BU145" s="44"/>
      <c r="BV145" s="43"/>
      <c r="BW145" s="43"/>
      <c r="BX145" s="43"/>
      <c r="BY145" s="43"/>
      <c r="BZ145" s="43"/>
      <c r="CA145" s="43"/>
      <c r="CB145" s="43"/>
      <c r="CC145" s="43"/>
      <c r="CD145" s="43"/>
      <c r="CE145" s="44"/>
      <c r="CF145" s="43"/>
      <c r="CG145" s="43"/>
      <c r="CH145" s="43"/>
      <c r="CI145" s="43"/>
      <c r="CJ145" s="43"/>
      <c r="CK145" s="43"/>
      <c r="CL145" s="43"/>
      <c r="CM145" s="43"/>
      <c r="CN145" s="43"/>
      <c r="CO145" s="44"/>
      <c r="CP145" s="43"/>
      <c r="CQ145" s="43"/>
      <c r="CR145" s="43"/>
      <c r="CS145" s="43"/>
      <c r="CT145" s="43"/>
      <c r="CU145" s="43"/>
      <c r="CV145" s="43"/>
      <c r="CW145" s="43"/>
      <c r="CX145" s="43"/>
      <c r="CY145" s="44"/>
      <c r="CZ145" s="43"/>
      <c r="DA145" s="43"/>
      <c r="DB145" s="43"/>
      <c r="DC145" s="43"/>
      <c r="DD145" s="43"/>
      <c r="DE145" s="43"/>
      <c r="DF145" s="43"/>
      <c r="DG145" s="43"/>
      <c r="DH145" s="43"/>
      <c r="DI145" s="44"/>
      <c r="DJ145" s="43"/>
      <c r="DK145" s="43"/>
      <c r="DL145" s="43"/>
      <c r="DM145" s="43"/>
      <c r="DN145" s="43"/>
      <c r="DO145" s="43"/>
      <c r="DP145" s="43"/>
      <c r="DQ145" s="43"/>
      <c r="DR145" s="43"/>
      <c r="DS145" s="44"/>
      <c r="DT145" s="43"/>
      <c r="DU145" s="43"/>
      <c r="DV145" s="43"/>
      <c r="DW145" s="43"/>
      <c r="DX145" s="43"/>
      <c r="DY145" s="43"/>
      <c r="DZ145" s="43"/>
      <c r="EA145" s="43"/>
      <c r="EB145" s="43"/>
      <c r="EC145" s="44"/>
      <c r="ED145" s="43"/>
      <c r="EE145" s="43"/>
      <c r="EF145" s="43"/>
      <c r="EG145" s="43"/>
      <c r="EH145" s="43"/>
      <c r="EI145" s="43"/>
      <c r="EJ145" s="43"/>
      <c r="EK145" s="43"/>
      <c r="EL145" s="43"/>
      <c r="EM145" s="44"/>
      <c r="EN145" s="43"/>
      <c r="EO145" s="43"/>
      <c r="EP145" s="43"/>
      <c r="EQ145" s="43"/>
      <c r="ER145" s="43"/>
      <c r="ES145" s="43"/>
      <c r="ET145" s="43"/>
      <c r="EU145" s="43"/>
      <c r="EV145" s="43"/>
      <c r="EW145" s="44"/>
      <c r="EX145" s="43"/>
      <c r="EY145" s="43"/>
      <c r="EZ145" s="43"/>
    </row>
    <row r="146" customFormat="false" ht="12.75" hidden="false" customHeight="true" outlineLevel="0" collapsed="false">
      <c r="A146" s="19" t="s">
        <v>204</v>
      </c>
      <c r="B146" s="27" t="s">
        <v>205</v>
      </c>
      <c r="C146" s="21" t="n">
        <v>632</v>
      </c>
      <c r="D146" s="21" t="n">
        <v>680</v>
      </c>
      <c r="E146" s="22" t="str">
        <f aca="false">IF(C146=D146,"событие",IF(D146&gt;=2026,IF(A146="Личности","жив","существует"),"в прошлом"))</f>
        <v>в прошлом</v>
      </c>
      <c r="F146" s="23" t="n">
        <f aca="false">IF(C146=D146,"",D146-C146)</f>
        <v>48</v>
      </c>
      <c r="G146" s="23"/>
      <c r="H146" s="19" t="s">
        <v>150</v>
      </c>
      <c r="I146" s="24"/>
      <c r="M146" s="25"/>
      <c r="W146" s="25"/>
      <c r="AG146" s="25"/>
      <c r="AQ146" s="25"/>
      <c r="BA146" s="25"/>
      <c r="BK146" s="25"/>
      <c r="BU146" s="25"/>
      <c r="CE146" s="25"/>
      <c r="CO146" s="25"/>
      <c r="CY146" s="25"/>
      <c r="DI146" s="25"/>
      <c r="DS146" s="25"/>
      <c r="EC146" s="25"/>
      <c r="EM146" s="25"/>
      <c r="EW146" s="25"/>
      <c r="EZ146" s="35" t="str">
        <f aca="false">IF(AND(D146&gt;=2026,C146&lt;D146),"▶","")</f>
        <v/>
      </c>
    </row>
    <row r="147" customFormat="false" ht="12.75" hidden="false" customHeight="true" outlineLevel="0" collapsed="false">
      <c r="A147" s="19" t="s">
        <v>204</v>
      </c>
      <c r="B147" s="27" t="s">
        <v>206</v>
      </c>
      <c r="C147" s="21" t="n">
        <v>680</v>
      </c>
      <c r="D147" s="21" t="n">
        <v>874</v>
      </c>
      <c r="E147" s="22" t="str">
        <f aca="false">IF(C147=D147,"событие",IF(D147&gt;=2026,IF(A147="Личности","жив","существует"),"в прошлом"))</f>
        <v>в прошлом</v>
      </c>
      <c r="F147" s="23" t="n">
        <f aca="false">IF(C147=D147,"",D147-C147)</f>
        <v>194</v>
      </c>
      <c r="G147" s="23" t="s">
        <v>207</v>
      </c>
      <c r="H147" s="19" t="s">
        <v>150</v>
      </c>
      <c r="I147" s="24"/>
      <c r="M147" s="25"/>
      <c r="W147" s="25"/>
      <c r="AG147" s="25"/>
      <c r="AQ147" s="25"/>
      <c r="BA147" s="25"/>
      <c r="BK147" s="25"/>
      <c r="BU147" s="25"/>
      <c r="CE147" s="25"/>
      <c r="CO147" s="25"/>
      <c r="CY147" s="25"/>
      <c r="DI147" s="25"/>
      <c r="DS147" s="25"/>
      <c r="EC147" s="25"/>
      <c r="EM147" s="25"/>
      <c r="EW147" s="25"/>
      <c r="EZ147" s="35" t="str">
        <f aca="false">IF(AND(D147&gt;=2026,C147&lt;D147),"▶","")</f>
        <v/>
      </c>
    </row>
    <row r="148" customFormat="false" ht="12.75" hidden="false" customHeight="true" outlineLevel="0" collapsed="false">
      <c r="A148" s="19" t="s">
        <v>204</v>
      </c>
      <c r="B148" s="27" t="s">
        <v>208</v>
      </c>
      <c r="C148" s="21" t="n">
        <v>685</v>
      </c>
      <c r="D148" s="21" t="n">
        <v>900</v>
      </c>
      <c r="E148" s="22" t="str">
        <f aca="false">IF(C148=D148,"событие",IF(D148&gt;=2026,IF(A148="Личности","жив","существует"),"в прошлом"))</f>
        <v>в прошлом</v>
      </c>
      <c r="F148" s="23" t="n">
        <f aca="false">IF(C148=D148,"",D148-C148)</f>
        <v>215</v>
      </c>
      <c r="G148" s="23" t="s">
        <v>207</v>
      </c>
      <c r="H148" s="19" t="s">
        <v>150</v>
      </c>
      <c r="I148" s="24"/>
      <c r="M148" s="25"/>
      <c r="W148" s="25"/>
      <c r="AG148" s="25"/>
      <c r="AQ148" s="25"/>
      <c r="BA148" s="25"/>
      <c r="BK148" s="25"/>
      <c r="BU148" s="25"/>
      <c r="CE148" s="25"/>
      <c r="CO148" s="25"/>
      <c r="CY148" s="25"/>
      <c r="DI148" s="25"/>
      <c r="DS148" s="25"/>
      <c r="EC148" s="25"/>
      <c r="EM148" s="25"/>
      <c r="EW148" s="25"/>
      <c r="EZ148" s="35" t="str">
        <f aca="false">IF(AND(D148&gt;=2026,C148&lt;D148),"▶","")</f>
        <v/>
      </c>
    </row>
    <row r="149" customFormat="false" ht="12.75" hidden="false" customHeight="true" outlineLevel="0" collapsed="false">
      <c r="A149" s="19" t="s">
        <v>204</v>
      </c>
      <c r="B149" s="27" t="s">
        <v>209</v>
      </c>
      <c r="C149" s="21" t="n">
        <v>720</v>
      </c>
      <c r="D149" s="21" t="n">
        <v>950</v>
      </c>
      <c r="E149" s="22" t="str">
        <f aca="false">IF(C149=D149,"событие",IF(D149&gt;=2026,IF(A149="Личности","жив","существует"),"в прошлом"))</f>
        <v>в прошлом</v>
      </c>
      <c r="F149" s="23" t="n">
        <f aca="false">IF(C149=D149,"",D149-C149)</f>
        <v>230</v>
      </c>
      <c r="G149" s="23" t="s">
        <v>210</v>
      </c>
      <c r="H149" s="19" t="s">
        <v>150</v>
      </c>
      <c r="I149" s="24"/>
      <c r="M149" s="25"/>
      <c r="W149" s="25"/>
      <c r="AG149" s="25"/>
      <c r="AQ149" s="25"/>
      <c r="BA149" s="25"/>
      <c r="BK149" s="25"/>
      <c r="BU149" s="25"/>
      <c r="CE149" s="25"/>
      <c r="CO149" s="25"/>
      <c r="CY149" s="25"/>
      <c r="DI149" s="25"/>
      <c r="DS149" s="25"/>
      <c r="EC149" s="25"/>
      <c r="EM149" s="25"/>
      <c r="EW149" s="25"/>
      <c r="EZ149" s="35" t="str">
        <f aca="false">IF(AND(D149&gt;=2026,C149&lt;D149),"▶","")</f>
        <v/>
      </c>
    </row>
    <row r="150" customFormat="false" ht="12.75" hidden="false" customHeight="true" outlineLevel="0" collapsed="false">
      <c r="A150" s="19" t="s">
        <v>204</v>
      </c>
      <c r="B150" s="27" t="s">
        <v>211</v>
      </c>
      <c r="C150" s="21" t="n">
        <v>740</v>
      </c>
      <c r="D150" s="21" t="n">
        <v>2026</v>
      </c>
      <c r="E150" s="22" t="str">
        <f aca="false">IF(C150=D150,"событие",IF(D150&gt;=2026,IF(A150="Личности","жив","существует"),"в прошлом"))</f>
        <v>существует</v>
      </c>
      <c r="F150" s="23" t="n">
        <f aca="false">IF(C150=D150,"",D150-C150)</f>
        <v>1286</v>
      </c>
      <c r="G150" s="23" t="s">
        <v>210</v>
      </c>
      <c r="H150" s="19" t="s">
        <v>150</v>
      </c>
      <c r="I150" s="24"/>
      <c r="M150" s="25"/>
      <c r="W150" s="25"/>
      <c r="AG150" s="25"/>
      <c r="AQ150" s="25"/>
      <c r="BA150" s="25"/>
      <c r="BK150" s="25"/>
      <c r="BU150" s="25"/>
      <c r="CE150" s="25"/>
      <c r="CO150" s="25"/>
      <c r="CY150" s="25"/>
      <c r="DI150" s="25"/>
      <c r="DS150" s="25"/>
      <c r="EC150" s="25"/>
      <c r="EM150" s="25"/>
      <c r="EW150" s="25"/>
      <c r="EZ150" s="35" t="str">
        <f aca="false">IF(AND(D150&gt;=2026,C150&lt;D150),"▶","")</f>
        <v>▶</v>
      </c>
    </row>
    <row r="151" customFormat="false" ht="12.75" hidden="false" customHeight="true" outlineLevel="0" collapsed="false">
      <c r="A151" s="19" t="s">
        <v>204</v>
      </c>
      <c r="B151" s="27" t="s">
        <v>212</v>
      </c>
      <c r="C151" s="21" t="n">
        <v>765</v>
      </c>
      <c r="D151" s="21" t="n">
        <v>909</v>
      </c>
      <c r="E151" s="22" t="str">
        <f aca="false">IF(C151=D151,"событие",IF(D151&gt;=2026,IF(A151="Личности","жив","существует"),"в прошлом"))</f>
        <v>в прошлом</v>
      </c>
      <c r="F151" s="23" t="n">
        <f aca="false">IF(C151=D151,"",D151-C151)</f>
        <v>144</v>
      </c>
      <c r="G151" s="23" t="s">
        <v>210</v>
      </c>
      <c r="H151" s="19" t="s">
        <v>150</v>
      </c>
      <c r="I151" s="24"/>
      <c r="M151" s="25"/>
      <c r="W151" s="25"/>
      <c r="AG151" s="25"/>
      <c r="AQ151" s="25"/>
      <c r="BA151" s="25"/>
      <c r="BK151" s="25"/>
      <c r="BU151" s="25"/>
      <c r="CE151" s="25"/>
      <c r="CO151" s="25"/>
      <c r="CY151" s="25"/>
      <c r="DI151" s="25"/>
      <c r="DS151" s="25"/>
      <c r="EC151" s="25"/>
      <c r="EM151" s="25"/>
      <c r="EW151" s="25"/>
      <c r="EZ151" s="35" t="str">
        <f aca="false">IF(AND(D151&gt;=2026,C151&lt;D151),"▶","")</f>
        <v/>
      </c>
    </row>
    <row r="152" customFormat="false" ht="12.75" hidden="false" customHeight="true" outlineLevel="0" collapsed="false">
      <c r="A152" s="19" t="s">
        <v>204</v>
      </c>
      <c r="B152" s="27" t="s">
        <v>213</v>
      </c>
      <c r="C152" s="21" t="n">
        <v>765</v>
      </c>
      <c r="D152" s="21" t="n">
        <v>950</v>
      </c>
      <c r="E152" s="22" t="str">
        <f aca="false">IF(C152=D152,"событие",IF(D152&gt;=2026,IF(A152="Личности","жив","существует"),"в прошлом"))</f>
        <v>в прошлом</v>
      </c>
      <c r="F152" s="23" t="n">
        <f aca="false">IF(C152=D152,"",D152-C152)</f>
        <v>185</v>
      </c>
      <c r="G152" s="23" t="s">
        <v>210</v>
      </c>
      <c r="H152" s="19" t="s">
        <v>150</v>
      </c>
      <c r="I152" s="24"/>
      <c r="M152" s="25"/>
      <c r="W152" s="25"/>
      <c r="AG152" s="25"/>
      <c r="AQ152" s="25"/>
      <c r="BA152" s="25"/>
      <c r="BK152" s="25"/>
      <c r="BU152" s="25"/>
      <c r="CE152" s="25"/>
      <c r="CO152" s="25"/>
      <c r="CY152" s="25"/>
      <c r="DI152" s="25"/>
      <c r="DS152" s="25"/>
      <c r="EC152" s="25"/>
      <c r="EM152" s="25"/>
      <c r="EW152" s="25"/>
      <c r="EZ152" s="35" t="str">
        <f aca="false">IF(AND(D152&gt;=2026,C152&lt;D152),"▶","")</f>
        <v/>
      </c>
    </row>
    <row r="153" customFormat="false" ht="12.75" hidden="false" customHeight="true" outlineLevel="0" collapsed="false">
      <c r="A153" s="19" t="s">
        <v>204</v>
      </c>
      <c r="B153" s="27" t="s">
        <v>214</v>
      </c>
      <c r="C153" s="21" t="n">
        <v>860</v>
      </c>
      <c r="D153" s="21" t="n">
        <v>2026</v>
      </c>
      <c r="E153" s="22" t="str">
        <f aca="false">IF(C153=D153,"событие",IF(D153&gt;=2026,IF(A153="Личности","жив","существует"),"в прошлом"))</f>
        <v>существует</v>
      </c>
      <c r="F153" s="23" t="n">
        <f aca="false">IF(C153=D153,"",D153-C153)</f>
        <v>1166</v>
      </c>
      <c r="G153" s="23" t="s">
        <v>215</v>
      </c>
      <c r="H153" s="19" t="s">
        <v>216</v>
      </c>
      <c r="I153" s="24"/>
      <c r="M153" s="25"/>
      <c r="W153" s="25"/>
      <c r="AG153" s="25"/>
      <c r="AQ153" s="25"/>
      <c r="BA153" s="25"/>
      <c r="BK153" s="25"/>
      <c r="BU153" s="25"/>
      <c r="CE153" s="25"/>
      <c r="CO153" s="25"/>
      <c r="CY153" s="25"/>
      <c r="DI153" s="25"/>
      <c r="DS153" s="25"/>
      <c r="EC153" s="25"/>
      <c r="EM153" s="25"/>
      <c r="EW153" s="25"/>
      <c r="EZ153" s="45" t="str">
        <f aca="false">IF(AND(D153&gt;=2026,C153&lt;D153),"▶","")</f>
        <v>▶</v>
      </c>
    </row>
    <row r="154" customFormat="false" ht="12.75" hidden="false" customHeight="true" outlineLevel="0" collapsed="false">
      <c r="A154" s="19" t="s">
        <v>204</v>
      </c>
      <c r="B154" s="27" t="s">
        <v>217</v>
      </c>
      <c r="C154" s="21" t="n">
        <v>874</v>
      </c>
      <c r="D154" s="21" t="n">
        <v>2026</v>
      </c>
      <c r="E154" s="22" t="str">
        <f aca="false">IF(C154=D154,"событие",IF(D154&gt;=2026,IF(A154="Личности","жив","существует"),"в прошлом"))</f>
        <v>существует</v>
      </c>
      <c r="F154" s="23" t="n">
        <f aca="false">IF(C154=D154,"",D154-C154)</f>
        <v>1152</v>
      </c>
      <c r="G154" s="23" t="s">
        <v>210</v>
      </c>
      <c r="H154" s="19" t="s">
        <v>150</v>
      </c>
      <c r="I154" s="24"/>
      <c r="M154" s="25"/>
      <c r="W154" s="25"/>
      <c r="AG154" s="25"/>
      <c r="AQ154" s="25"/>
      <c r="BA154" s="25"/>
      <c r="BK154" s="25"/>
      <c r="BU154" s="25"/>
      <c r="CE154" s="25"/>
      <c r="CO154" s="25"/>
      <c r="CY154" s="25"/>
      <c r="DI154" s="25"/>
      <c r="DS154" s="25"/>
      <c r="EC154" s="25"/>
      <c r="EM154" s="25"/>
      <c r="EW154" s="25"/>
      <c r="EZ154" s="35" t="str">
        <f aca="false">IF(AND(D154&gt;=2026,C154&lt;D154),"▶","")</f>
        <v>▶</v>
      </c>
    </row>
    <row r="155" customFormat="false" ht="12.75" hidden="false" customHeight="true" outlineLevel="0" collapsed="false">
      <c r="A155" s="19" t="s">
        <v>204</v>
      </c>
      <c r="B155" s="27" t="s">
        <v>218</v>
      </c>
      <c r="C155" s="21" t="n">
        <v>899</v>
      </c>
      <c r="D155" s="21" t="n">
        <v>1077</v>
      </c>
      <c r="E155" s="22" t="str">
        <f aca="false">IF(C155=D155,"событие",IF(D155&gt;=2026,IF(A155="Личности","жив","существует"),"в прошлом"))</f>
        <v>в прошлом</v>
      </c>
      <c r="F155" s="23" t="n">
        <f aca="false">IF(C155=D155,"",D155-C155)</f>
        <v>178</v>
      </c>
      <c r="G155" s="23" t="s">
        <v>219</v>
      </c>
      <c r="H155" s="19" t="s">
        <v>150</v>
      </c>
      <c r="I155" s="24"/>
      <c r="M155" s="25"/>
      <c r="W155" s="25"/>
      <c r="AG155" s="25"/>
      <c r="AQ155" s="25"/>
      <c r="BA155" s="25"/>
      <c r="BK155" s="25"/>
      <c r="BU155" s="25"/>
      <c r="CE155" s="25"/>
      <c r="CO155" s="25"/>
      <c r="CY155" s="25"/>
      <c r="DI155" s="25"/>
      <c r="DS155" s="25"/>
      <c r="EC155" s="25"/>
      <c r="EM155" s="25"/>
      <c r="EW155" s="25"/>
      <c r="EZ155" s="35" t="str">
        <f aca="false">IF(AND(D155&gt;=2026,C155&lt;D155),"▶","")</f>
        <v/>
      </c>
    </row>
    <row r="156" customFormat="false" ht="12.75" hidden="false" customHeight="true" outlineLevel="0" collapsed="false">
      <c r="A156" s="19" t="s">
        <v>204</v>
      </c>
      <c r="B156" s="27" t="s">
        <v>220</v>
      </c>
      <c r="C156" s="21" t="n">
        <v>909</v>
      </c>
      <c r="D156" s="21" t="n">
        <v>1094</v>
      </c>
      <c r="E156" s="22" t="str">
        <f aca="false">IF(C156=D156,"событие",IF(D156&gt;=2026,IF(A156="Личности","жив","существует"),"в прошлом"))</f>
        <v>в прошлом</v>
      </c>
      <c r="F156" s="23" t="n">
        <f aca="false">IF(C156=D156,"",D156-C156)</f>
        <v>185</v>
      </c>
      <c r="G156" s="23" t="s">
        <v>219</v>
      </c>
      <c r="H156" s="19" t="s">
        <v>150</v>
      </c>
      <c r="I156" s="24"/>
      <c r="M156" s="25"/>
      <c r="W156" s="25"/>
      <c r="AG156" s="25"/>
      <c r="AQ156" s="25"/>
      <c r="BA156" s="25"/>
      <c r="BK156" s="25"/>
      <c r="BU156" s="25"/>
      <c r="CE156" s="25"/>
      <c r="CO156" s="25"/>
      <c r="CY156" s="25"/>
      <c r="DI156" s="25"/>
      <c r="DS156" s="25"/>
      <c r="EC156" s="25"/>
      <c r="EM156" s="25"/>
      <c r="EW156" s="25"/>
      <c r="EZ156" s="35" t="str">
        <f aca="false">IF(AND(D156&gt;=2026,C156&lt;D156),"▶","")</f>
        <v/>
      </c>
    </row>
    <row r="157" customFormat="false" ht="12.75" hidden="false" customHeight="true" outlineLevel="0" collapsed="false">
      <c r="A157" s="19" t="s">
        <v>204</v>
      </c>
      <c r="B157" s="27" t="s">
        <v>221</v>
      </c>
      <c r="C157" s="21" t="n">
        <v>1017</v>
      </c>
      <c r="D157" s="21" t="n">
        <v>2026</v>
      </c>
      <c r="E157" s="22" t="str">
        <f aca="false">IF(C157=D157,"событие",IF(D157&gt;=2026,IF(A157="Личности","жив","существует"),"в прошлом"))</f>
        <v>существует</v>
      </c>
      <c r="F157" s="23" t="n">
        <f aca="false">IF(C157=D157,"",D157-C157)</f>
        <v>1009</v>
      </c>
      <c r="G157" s="23" t="s">
        <v>222</v>
      </c>
      <c r="H157" s="19" t="s">
        <v>216</v>
      </c>
      <c r="I157" s="24"/>
      <c r="M157" s="25"/>
      <c r="W157" s="25"/>
      <c r="AG157" s="25"/>
      <c r="AQ157" s="25"/>
      <c r="BA157" s="25"/>
      <c r="BK157" s="25"/>
      <c r="BU157" s="25"/>
      <c r="CE157" s="25"/>
      <c r="CO157" s="25"/>
      <c r="CY157" s="25"/>
      <c r="DI157" s="25"/>
      <c r="DS157" s="25"/>
      <c r="EC157" s="25"/>
      <c r="EM157" s="25"/>
      <c r="EW157" s="25"/>
      <c r="EZ157" s="45" t="str">
        <f aca="false">IF(AND(D157&gt;=2026,C157&lt;D157),"▶","")</f>
        <v>▶</v>
      </c>
    </row>
    <row r="158" customFormat="false" ht="12.75" hidden="false" customHeight="true" outlineLevel="0" collapsed="false">
      <c r="A158" s="19" t="s">
        <v>204</v>
      </c>
      <c r="B158" s="27" t="s">
        <v>223</v>
      </c>
      <c r="C158" s="21" t="n">
        <v>1094</v>
      </c>
      <c r="D158" s="21" t="n">
        <v>1132</v>
      </c>
      <c r="E158" s="22" t="str">
        <f aca="false">IF(C158=D158,"событие",IF(D158&gt;=2026,IF(A158="Личности","жив","существует"),"в прошлом"))</f>
        <v>в прошлом</v>
      </c>
      <c r="F158" s="23" t="n">
        <f aca="false">IF(C158=D158,"",D158-C158)</f>
        <v>38</v>
      </c>
      <c r="G158" s="23" t="s">
        <v>224</v>
      </c>
      <c r="H158" s="19" t="s">
        <v>150</v>
      </c>
      <c r="I158" s="24"/>
      <c r="M158" s="25"/>
      <c r="W158" s="25"/>
      <c r="AG158" s="25"/>
      <c r="AQ158" s="25"/>
      <c r="BA158" s="25"/>
      <c r="BK158" s="25"/>
      <c r="BU158" s="25"/>
      <c r="CE158" s="25"/>
      <c r="CO158" s="25"/>
      <c r="CY158" s="25"/>
      <c r="DI158" s="25"/>
      <c r="DS158" s="25"/>
      <c r="EC158" s="25"/>
      <c r="EM158" s="25"/>
      <c r="EW158" s="25"/>
      <c r="EZ158" s="35" t="str">
        <f aca="false">IF(AND(D158&gt;=2026,C158&lt;D158),"▶","")</f>
        <v/>
      </c>
    </row>
    <row r="159" customFormat="false" ht="12.75" hidden="false" customHeight="true" outlineLevel="0" collapsed="false">
      <c r="A159" s="19" t="s">
        <v>204</v>
      </c>
      <c r="B159" s="27" t="s">
        <v>225</v>
      </c>
      <c r="C159" s="21" t="n">
        <v>1094</v>
      </c>
      <c r="D159" s="21" t="n">
        <v>2026</v>
      </c>
      <c r="E159" s="22" t="str">
        <f aca="false">IF(C159=D159,"событие",IF(D159&gt;=2026,IF(A159="Личности","жив","существует"),"в прошлом"))</f>
        <v>существует</v>
      </c>
      <c r="F159" s="23" t="n">
        <f aca="false">IF(C159=D159,"",D159-C159)</f>
        <v>932</v>
      </c>
      <c r="G159" s="23" t="s">
        <v>224</v>
      </c>
      <c r="H159" s="19" t="s">
        <v>150</v>
      </c>
      <c r="I159" s="24"/>
      <c r="M159" s="25"/>
      <c r="W159" s="25"/>
      <c r="AG159" s="25"/>
      <c r="AQ159" s="25"/>
      <c r="BA159" s="25"/>
      <c r="BK159" s="25"/>
      <c r="BU159" s="25"/>
      <c r="CE159" s="25"/>
      <c r="CO159" s="25"/>
      <c r="CY159" s="25"/>
      <c r="DI159" s="25"/>
      <c r="DS159" s="25"/>
      <c r="EC159" s="25"/>
      <c r="EM159" s="25"/>
      <c r="EW159" s="25"/>
      <c r="EZ159" s="35" t="str">
        <f aca="false">IF(AND(D159&gt;=2026,C159&lt;D159),"▶","")</f>
        <v>▶</v>
      </c>
    </row>
    <row r="160" customFormat="false" ht="12.75" hidden="false" customHeight="true" outlineLevel="0" collapsed="false">
      <c r="A160" s="19" t="s">
        <v>204</v>
      </c>
      <c r="B160" s="27" t="s">
        <v>226</v>
      </c>
      <c r="C160" s="21" t="n">
        <v>1130</v>
      </c>
      <c r="D160" s="21" t="n">
        <v>1171</v>
      </c>
      <c r="E160" s="22" t="str">
        <f aca="false">IF(C160=D160,"событие",IF(D160&gt;=2026,IF(A160="Личности","жив","существует"),"в прошлом"))</f>
        <v>в прошлом</v>
      </c>
      <c r="F160" s="23" t="n">
        <f aca="false">IF(C160=D160,"",D160-C160)</f>
        <v>41</v>
      </c>
      <c r="G160" s="23" t="s">
        <v>227</v>
      </c>
      <c r="H160" s="19" t="s">
        <v>150</v>
      </c>
      <c r="I160" s="24"/>
      <c r="M160" s="25"/>
      <c r="W160" s="25"/>
      <c r="AG160" s="25"/>
      <c r="AQ160" s="25"/>
      <c r="BA160" s="25"/>
      <c r="BK160" s="25"/>
      <c r="BU160" s="25"/>
      <c r="CE160" s="25"/>
      <c r="CO160" s="25"/>
      <c r="CY160" s="25"/>
      <c r="DI160" s="25"/>
      <c r="DS160" s="25"/>
      <c r="EC160" s="25"/>
      <c r="EM160" s="25"/>
      <c r="EW160" s="25"/>
      <c r="EZ160" s="35" t="str">
        <f aca="false">IF(AND(D160&gt;=2026,C160&lt;D160),"▶","")</f>
        <v/>
      </c>
    </row>
    <row r="161" customFormat="false" ht="12.75" hidden="false" customHeight="true" outlineLevel="0" collapsed="false">
      <c r="A161" s="19" t="s">
        <v>204</v>
      </c>
      <c r="B161" s="27" t="s">
        <v>228</v>
      </c>
      <c r="C161" s="21" t="n">
        <v>1132</v>
      </c>
      <c r="D161" s="21" t="n">
        <v>1592</v>
      </c>
      <c r="E161" s="22" t="str">
        <f aca="false">IF(C161=D161,"событие",IF(D161&gt;=2026,IF(A161="Личности","жив","существует"),"в прошлом"))</f>
        <v>в прошлом</v>
      </c>
      <c r="F161" s="23" t="n">
        <f aca="false">IF(C161=D161,"",D161-C161)</f>
        <v>460</v>
      </c>
      <c r="G161" s="23" t="s">
        <v>227</v>
      </c>
      <c r="H161" s="19" t="s">
        <v>150</v>
      </c>
      <c r="I161" s="24"/>
      <c r="M161" s="25"/>
      <c r="W161" s="25"/>
      <c r="AG161" s="25"/>
      <c r="AQ161" s="25"/>
      <c r="BA161" s="25"/>
      <c r="BK161" s="25"/>
      <c r="BU161" s="25"/>
      <c r="CE161" s="25"/>
      <c r="CO161" s="25"/>
      <c r="CY161" s="25"/>
      <c r="DI161" s="25"/>
      <c r="DS161" s="25"/>
      <c r="EC161" s="25"/>
      <c r="EM161" s="25"/>
      <c r="EW161" s="25"/>
      <c r="EZ161" s="35" t="str">
        <f aca="false">IF(AND(D161&gt;=2026,C161&lt;D161),"▶","")</f>
        <v/>
      </c>
    </row>
    <row r="162" customFormat="false" ht="12.75" hidden="false" customHeight="true" outlineLevel="0" collapsed="false">
      <c r="A162" s="19" t="s">
        <v>204</v>
      </c>
      <c r="B162" s="27" t="s">
        <v>229</v>
      </c>
      <c r="C162" s="21" t="n">
        <v>1386</v>
      </c>
      <c r="D162" s="21" t="n">
        <v>1500</v>
      </c>
      <c r="E162" s="22" t="str">
        <f aca="false">IF(C162=D162,"событие",IF(D162&gt;=2026,IF(A162="Личности","жив","существует"),"в прошлом"))</f>
        <v>в прошлом</v>
      </c>
      <c r="F162" s="23" t="n">
        <f aca="false">IF(C162=D162,"",D162-C162)</f>
        <v>114</v>
      </c>
      <c r="G162" s="23" t="s">
        <v>230</v>
      </c>
      <c r="H162" s="19" t="s">
        <v>216</v>
      </c>
      <c r="I162" s="24"/>
      <c r="M162" s="25"/>
      <c r="W162" s="25"/>
      <c r="AG162" s="25"/>
      <c r="AQ162" s="25"/>
      <c r="BA162" s="25"/>
      <c r="BK162" s="25"/>
      <c r="BU162" s="25"/>
      <c r="CE162" s="25"/>
      <c r="CO162" s="25"/>
      <c r="CY162" s="25"/>
      <c r="DI162" s="25"/>
      <c r="DS162" s="25"/>
      <c r="EC162" s="25"/>
      <c r="EM162" s="25"/>
      <c r="EW162" s="25"/>
      <c r="EZ162" s="45" t="str">
        <f aca="false">IF(AND(D162&gt;=2026,C162&lt;D162),"▶","")</f>
        <v/>
      </c>
    </row>
    <row r="163" customFormat="false" ht="12.75" hidden="false" customHeight="true" outlineLevel="0" collapsed="false">
      <c r="A163" s="19" t="s">
        <v>204</v>
      </c>
      <c r="B163" s="27" t="s">
        <v>231</v>
      </c>
      <c r="C163" s="21" t="n">
        <v>1400</v>
      </c>
      <c r="D163" s="21" t="n">
        <v>2026</v>
      </c>
      <c r="E163" s="22" t="str">
        <f aca="false">IF(C163=D163,"событие",IF(D163&gt;=2026,IF(A163="Личности","жив","существует"),"в прошлом"))</f>
        <v>существует</v>
      </c>
      <c r="F163" s="23" t="n">
        <f aca="false">IF(C163=D163,"",D163-C163)</f>
        <v>626</v>
      </c>
      <c r="G163" s="23" t="s">
        <v>230</v>
      </c>
      <c r="H163" s="19" t="s">
        <v>216</v>
      </c>
      <c r="I163" s="24"/>
      <c r="M163" s="25"/>
      <c r="W163" s="25"/>
      <c r="AG163" s="25"/>
      <c r="AQ163" s="25"/>
      <c r="BA163" s="25"/>
      <c r="BK163" s="25"/>
      <c r="BU163" s="25"/>
      <c r="CE163" s="25"/>
      <c r="CO163" s="25"/>
      <c r="CY163" s="25"/>
      <c r="DI163" s="25"/>
      <c r="DS163" s="25"/>
      <c r="EC163" s="25"/>
      <c r="EM163" s="25"/>
      <c r="EW163" s="25"/>
      <c r="EZ163" s="45" t="str">
        <f aca="false">IF(AND(D163&gt;=2026,C163&lt;D163),"▶","")</f>
        <v>▶</v>
      </c>
    </row>
    <row r="164" customFormat="false" ht="12.75" hidden="false" customHeight="true" outlineLevel="0" collapsed="false">
      <c r="A164" s="19" t="s">
        <v>204</v>
      </c>
      <c r="B164" s="27" t="s">
        <v>232</v>
      </c>
      <c r="C164" s="21" t="n">
        <v>1450</v>
      </c>
      <c r="D164" s="21" t="n">
        <v>1600</v>
      </c>
      <c r="E164" s="22" t="str">
        <f aca="false">IF(C164=D164,"событие",IF(D164&gt;=2026,IF(A164="Личности","жив","существует"),"в прошлом"))</f>
        <v>в прошлом</v>
      </c>
      <c r="F164" s="23" t="n">
        <f aca="false">IF(C164=D164,"",D164-C164)</f>
        <v>150</v>
      </c>
      <c r="G164" s="23" t="s">
        <v>230</v>
      </c>
      <c r="H164" s="19" t="s">
        <v>216</v>
      </c>
      <c r="I164" s="24"/>
      <c r="M164" s="25"/>
      <c r="W164" s="25"/>
      <c r="AG164" s="25"/>
      <c r="AQ164" s="25"/>
      <c r="BA164" s="25"/>
      <c r="BK164" s="25"/>
      <c r="BU164" s="25"/>
      <c r="CE164" s="25"/>
      <c r="CO164" s="25"/>
      <c r="CY164" s="25"/>
      <c r="DI164" s="25"/>
      <c r="DS164" s="25"/>
      <c r="EC164" s="25"/>
      <c r="EM164" s="25"/>
      <c r="EW164" s="25"/>
      <c r="EZ164" s="45" t="str">
        <f aca="false">IF(AND(D164&gt;=2026,C164&lt;D164),"▶","")</f>
        <v/>
      </c>
    </row>
    <row r="165" customFormat="false" ht="12.75" hidden="false" customHeight="true" outlineLevel="0" collapsed="false">
      <c r="A165" s="19" t="s">
        <v>204</v>
      </c>
      <c r="B165" s="27" t="s">
        <v>233</v>
      </c>
      <c r="C165" s="21" t="n">
        <v>1592</v>
      </c>
      <c r="D165" s="21" t="n">
        <v>2026</v>
      </c>
      <c r="E165" s="22" t="str">
        <f aca="false">IF(C165=D165,"событие",IF(D165&gt;=2026,IF(A165="Личности","жив","существует"),"в прошлом"))</f>
        <v>существует</v>
      </c>
      <c r="F165" s="23" t="n">
        <f aca="false">IF(C165=D165,"",D165-C165)</f>
        <v>434</v>
      </c>
      <c r="G165" s="23" t="s">
        <v>234</v>
      </c>
      <c r="H165" s="19" t="s">
        <v>150</v>
      </c>
      <c r="I165" s="24"/>
      <c r="M165" s="25"/>
      <c r="W165" s="25"/>
      <c r="AG165" s="25"/>
      <c r="AQ165" s="25"/>
      <c r="BA165" s="25"/>
      <c r="BK165" s="25"/>
      <c r="BU165" s="25"/>
      <c r="CE165" s="25"/>
      <c r="CO165" s="25"/>
      <c r="CY165" s="25"/>
      <c r="DI165" s="25"/>
      <c r="DS165" s="25"/>
      <c r="EC165" s="25"/>
      <c r="EM165" s="25"/>
      <c r="EW165" s="25"/>
      <c r="EZ165" s="35" t="str">
        <f aca="false">IF(AND(D165&gt;=2026,C165&lt;D165),"▶","")</f>
        <v>▶</v>
      </c>
    </row>
    <row r="166" customFormat="false" ht="12.75" hidden="false" customHeight="true" outlineLevel="0" collapsed="false">
      <c r="A166" s="19" t="s">
        <v>204</v>
      </c>
      <c r="B166" s="27" t="s">
        <v>235</v>
      </c>
      <c r="C166" s="21" t="n">
        <v>1592</v>
      </c>
      <c r="D166" s="21" t="n">
        <v>2026</v>
      </c>
      <c r="E166" s="22" t="str">
        <f aca="false">IF(C166=D166,"событие",IF(D166&gt;=2026,IF(A166="Личности","жив","существует"),"в прошлом"))</f>
        <v>существует</v>
      </c>
      <c r="F166" s="23" t="n">
        <f aca="false">IF(C166=D166,"",D166-C166)</f>
        <v>434</v>
      </c>
      <c r="G166" s="23" t="s">
        <v>234</v>
      </c>
      <c r="H166" s="19" t="s">
        <v>150</v>
      </c>
      <c r="I166" s="24"/>
      <c r="M166" s="25"/>
      <c r="W166" s="25"/>
      <c r="AG166" s="25"/>
      <c r="AQ166" s="25"/>
      <c r="BA166" s="25"/>
      <c r="BK166" s="25"/>
      <c r="BU166" s="25"/>
      <c r="CE166" s="25"/>
      <c r="CO166" s="25"/>
      <c r="CY166" s="25"/>
      <c r="DI166" s="25"/>
      <c r="DS166" s="25"/>
      <c r="EC166" s="25"/>
      <c r="EM166" s="25"/>
      <c r="EW166" s="25"/>
      <c r="EZ166" s="35" t="str">
        <f aca="false">IF(AND(D166&gt;=2026,C166&lt;D166),"▶","")</f>
        <v>▶</v>
      </c>
    </row>
    <row r="167" customFormat="false" ht="12.75" hidden="false" customHeight="true" outlineLevel="0" collapsed="false">
      <c r="A167" s="19" t="s">
        <v>204</v>
      </c>
      <c r="B167" s="27" t="s">
        <v>236</v>
      </c>
      <c r="C167" s="21" t="n">
        <v>1600</v>
      </c>
      <c r="D167" s="21" t="n">
        <v>2026</v>
      </c>
      <c r="E167" s="22" t="str">
        <f aca="false">IF(C167=D167,"событие",IF(D167&gt;=2026,IF(A167="Личности","жив","существует"),"в прошлом"))</f>
        <v>существует</v>
      </c>
      <c r="F167" s="23" t="n">
        <f aca="false">IF(C167=D167,"",D167-C167)</f>
        <v>426</v>
      </c>
      <c r="G167" s="23" t="s">
        <v>237</v>
      </c>
      <c r="H167" s="19" t="s">
        <v>216</v>
      </c>
      <c r="I167" s="24"/>
      <c r="M167" s="25"/>
      <c r="W167" s="25"/>
      <c r="AG167" s="25"/>
      <c r="AQ167" s="25"/>
      <c r="BA167" s="25"/>
      <c r="BK167" s="25"/>
      <c r="BU167" s="25"/>
      <c r="CE167" s="25"/>
      <c r="CO167" s="25"/>
      <c r="CY167" s="25"/>
      <c r="DI167" s="25"/>
      <c r="DS167" s="25"/>
      <c r="EC167" s="25"/>
      <c r="EM167" s="25"/>
      <c r="EW167" s="25"/>
      <c r="EZ167" s="45" t="str">
        <f aca="false">IF(AND(D167&gt;=2026,C167&lt;D167),"▶","")</f>
        <v>▶</v>
      </c>
    </row>
    <row r="168" customFormat="false" ht="12.75" hidden="false" customHeight="true" outlineLevel="0" collapsed="false">
      <c r="A168" s="19" t="s">
        <v>204</v>
      </c>
      <c r="B168" s="27" t="s">
        <v>238</v>
      </c>
      <c r="C168" s="21" t="n">
        <v>1620</v>
      </c>
      <c r="D168" s="21" t="n">
        <v>2026</v>
      </c>
      <c r="E168" s="22" t="str">
        <f aca="false">IF(C168=D168,"событие",IF(D168&gt;=2026,IF(A168="Личности","жив","существует"),"в прошлом"))</f>
        <v>существует</v>
      </c>
      <c r="F168" s="23" t="n">
        <f aca="false">IF(C168=D168,"",D168-C168)</f>
        <v>406</v>
      </c>
      <c r="G168" s="23" t="s">
        <v>239</v>
      </c>
      <c r="H168" s="19" t="s">
        <v>150</v>
      </c>
      <c r="I168" s="24"/>
      <c r="M168" s="25"/>
      <c r="W168" s="25"/>
      <c r="AG168" s="25"/>
      <c r="AQ168" s="25"/>
      <c r="BA168" s="25"/>
      <c r="BK168" s="25"/>
      <c r="BU168" s="25"/>
      <c r="CE168" s="25"/>
      <c r="CO168" s="25"/>
      <c r="CY168" s="25"/>
      <c r="DI168" s="25"/>
      <c r="DS168" s="25"/>
      <c r="EC168" s="25"/>
      <c r="EM168" s="25"/>
      <c r="EW168" s="25"/>
      <c r="EZ168" s="35" t="str">
        <f aca="false">IF(AND(D168&gt;=2026,C168&lt;D168),"▶","")</f>
        <v>▶</v>
      </c>
    </row>
    <row r="169" customFormat="false" ht="12.75" hidden="false" customHeight="true" outlineLevel="0" collapsed="false">
      <c r="A169" s="19" t="s">
        <v>204</v>
      </c>
      <c r="B169" s="27" t="s">
        <v>240</v>
      </c>
      <c r="C169" s="21" t="n">
        <v>1621</v>
      </c>
      <c r="D169" s="21" t="n">
        <v>2026</v>
      </c>
      <c r="E169" s="22" t="str">
        <f aca="false">IF(C169=D169,"событие",IF(D169&gt;=2026,IF(A169="Личности","жив","существует"),"в прошлом"))</f>
        <v>существует</v>
      </c>
      <c r="F169" s="23" t="n">
        <f aca="false">IF(C169=D169,"",D169-C169)</f>
        <v>405</v>
      </c>
      <c r="G169" s="23" t="s">
        <v>241</v>
      </c>
      <c r="H169" s="19" t="s">
        <v>150</v>
      </c>
      <c r="I169" s="24"/>
      <c r="M169" s="25"/>
      <c r="W169" s="25"/>
      <c r="AG169" s="25"/>
      <c r="AQ169" s="25"/>
      <c r="BA169" s="25"/>
      <c r="BK169" s="25"/>
      <c r="BU169" s="25"/>
      <c r="CE169" s="25"/>
      <c r="CO169" s="25"/>
      <c r="CY169" s="25"/>
      <c r="DI169" s="25"/>
      <c r="DS169" s="25"/>
      <c r="EC169" s="25"/>
      <c r="EM169" s="25"/>
      <c r="EW169" s="25"/>
      <c r="EZ169" s="35" t="str">
        <f aca="false">IF(AND(D169&gt;=2026,C169&lt;D169),"▶","")</f>
        <v>▶</v>
      </c>
    </row>
    <row r="170" customFormat="false" ht="12.75" hidden="false" customHeight="true" outlineLevel="0" collapsed="false">
      <c r="A170" s="19" t="s">
        <v>204</v>
      </c>
      <c r="B170" s="27" t="s">
        <v>242</v>
      </c>
      <c r="C170" s="21" t="n">
        <v>1790</v>
      </c>
      <c r="D170" s="21" t="n">
        <v>2026</v>
      </c>
      <c r="E170" s="22" t="str">
        <f aca="false">IF(C170=D170,"событие",IF(D170&gt;=2026,IF(A170="Личности","жив","существует"),"в прошлом"))</f>
        <v>существует</v>
      </c>
      <c r="F170" s="23" t="n">
        <f aca="false">IF(C170=D170,"",D170-C170)</f>
        <v>236</v>
      </c>
      <c r="G170" s="23" t="s">
        <v>239</v>
      </c>
      <c r="H170" s="19" t="s">
        <v>150</v>
      </c>
      <c r="I170" s="24"/>
      <c r="M170" s="25"/>
      <c r="W170" s="25"/>
      <c r="AG170" s="25"/>
      <c r="AQ170" s="25"/>
      <c r="BA170" s="25"/>
      <c r="BK170" s="25"/>
      <c r="BU170" s="25"/>
      <c r="CE170" s="25"/>
      <c r="CO170" s="25"/>
      <c r="CY170" s="25"/>
      <c r="DI170" s="25"/>
      <c r="DS170" s="25"/>
      <c r="EC170" s="25"/>
      <c r="EM170" s="25"/>
      <c r="EW170" s="25"/>
      <c r="EZ170" s="35" t="str">
        <f aca="false">IF(AND(D170&gt;=2026,C170&lt;D170),"▶","")</f>
        <v>▶</v>
      </c>
    </row>
    <row r="171" customFormat="false" ht="12.75" hidden="false" customHeight="true" outlineLevel="0" collapsed="false">
      <c r="A171" s="19" t="s">
        <v>204</v>
      </c>
      <c r="B171" s="27" t="s">
        <v>243</v>
      </c>
      <c r="C171" s="21" t="n">
        <v>1844</v>
      </c>
      <c r="D171" s="21" t="n">
        <v>1866</v>
      </c>
      <c r="E171" s="22" t="str">
        <f aca="false">IF(C171=D171,"событие",IF(D171&gt;=2026,IF(A171="Личности","жив","существует"),"в прошлом"))</f>
        <v>в прошлом</v>
      </c>
      <c r="F171" s="23" t="n">
        <f aca="false">IF(C171=D171,"",D171-C171)</f>
        <v>22</v>
      </c>
      <c r="G171" s="23" t="s">
        <v>244</v>
      </c>
      <c r="H171" s="19" t="s">
        <v>216</v>
      </c>
      <c r="I171" s="24"/>
      <c r="M171" s="25"/>
      <c r="W171" s="25"/>
      <c r="AG171" s="25"/>
      <c r="AQ171" s="25"/>
      <c r="BA171" s="25"/>
      <c r="BK171" s="25"/>
      <c r="BU171" s="25"/>
      <c r="CE171" s="25"/>
      <c r="CO171" s="25"/>
      <c r="CY171" s="25"/>
      <c r="DI171" s="25"/>
      <c r="DS171" s="25"/>
      <c r="EC171" s="25"/>
      <c r="EM171" s="25"/>
      <c r="EW171" s="25"/>
      <c r="EZ171" s="45" t="str">
        <f aca="false">IF(AND(D171&gt;=2026,C171&lt;D171),"▶","")</f>
        <v/>
      </c>
    </row>
    <row r="172" customFormat="false" ht="12.75" hidden="false" customHeight="true" outlineLevel="0" collapsed="false">
      <c r="A172" s="19" t="s">
        <v>204</v>
      </c>
      <c r="B172" s="27" t="s">
        <v>245</v>
      </c>
      <c r="C172" s="21" t="n">
        <v>1863</v>
      </c>
      <c r="D172" s="21" t="n">
        <v>2026</v>
      </c>
      <c r="E172" s="22" t="str">
        <f aca="false">IF(C172=D172,"событие",IF(D172&gt;=2026,IF(A172="Личности","жив","существует"),"в прошлом"))</f>
        <v>существует</v>
      </c>
      <c r="F172" s="23" t="n">
        <f aca="false">IF(C172=D172,"",D172-C172)</f>
        <v>163</v>
      </c>
      <c r="G172" s="23" t="s">
        <v>246</v>
      </c>
      <c r="H172" s="19" t="s">
        <v>216</v>
      </c>
      <c r="I172" s="24"/>
      <c r="M172" s="25"/>
      <c r="W172" s="25"/>
      <c r="AG172" s="25"/>
      <c r="AQ172" s="25"/>
      <c r="BA172" s="25"/>
      <c r="BK172" s="25"/>
      <c r="BU172" s="25"/>
      <c r="CE172" s="25"/>
      <c r="CO172" s="25"/>
      <c r="CY172" s="25"/>
      <c r="DI172" s="25"/>
      <c r="DS172" s="25"/>
      <c r="EC172" s="25"/>
      <c r="EM172" s="25"/>
      <c r="EW172" s="25"/>
      <c r="EZ172" s="45" t="str">
        <f aca="false">IF(AND(D172&gt;=2026,C172&lt;D172),"▶","")</f>
        <v>▶</v>
      </c>
    </row>
    <row r="173" customFormat="false" ht="12.75" hidden="false" customHeight="true" outlineLevel="0" collapsed="false">
      <c r="A173" s="19" t="s">
        <v>204</v>
      </c>
      <c r="B173" s="27" t="s">
        <v>247</v>
      </c>
      <c r="C173" s="21" t="n">
        <v>1985</v>
      </c>
      <c r="D173" s="21" t="n">
        <v>2026</v>
      </c>
      <c r="E173" s="22" t="str">
        <f aca="false">IF(C173=D173,"событие",IF(D173&gt;=2026,IF(A173="Личности","жив","существует"),"в прошлом"))</f>
        <v>существует</v>
      </c>
      <c r="F173" s="23" t="n">
        <f aca="false">IF(C173=D173,"",D173-C173)</f>
        <v>41</v>
      </c>
      <c r="G173" s="23" t="s">
        <v>248</v>
      </c>
      <c r="H173" s="19" t="s">
        <v>150</v>
      </c>
      <c r="I173" s="24"/>
      <c r="M173" s="25"/>
      <c r="W173" s="25"/>
      <c r="AG173" s="25"/>
      <c r="AQ173" s="25"/>
      <c r="BA173" s="25"/>
      <c r="BK173" s="25"/>
      <c r="BU173" s="25"/>
      <c r="CE173" s="25"/>
      <c r="CO173" s="25"/>
      <c r="CY173" s="25"/>
      <c r="DI173" s="25"/>
      <c r="DS173" s="25"/>
      <c r="EC173" s="25"/>
      <c r="EM173" s="25"/>
      <c r="EW173" s="25"/>
      <c r="EZ173" s="35" t="str">
        <f aca="false">IF(AND(D173&gt;=2026,C173&lt;D173),"▶","")</f>
        <v>▶</v>
      </c>
    </row>
    <row r="174" customFormat="false" ht="12.75" hidden="false" customHeight="true" outlineLevel="0" collapsed="false">
      <c r="A174" s="19" t="s">
        <v>204</v>
      </c>
      <c r="B174" s="27" t="s">
        <v>249</v>
      </c>
      <c r="C174" s="21" t="n">
        <v>1992</v>
      </c>
      <c r="D174" s="21" t="n">
        <v>2026</v>
      </c>
      <c r="E174" s="22" t="str">
        <f aca="false">IF(C174=D174,"событие",IF(D174&gt;=2026,IF(A174="Личности","жив","существует"),"в прошлом"))</f>
        <v>существует</v>
      </c>
      <c r="F174" s="23" t="n">
        <f aca="false">IF(C174=D174,"",D174-C174)</f>
        <v>34</v>
      </c>
      <c r="G174" s="23" t="s">
        <v>250</v>
      </c>
      <c r="H174" s="19" t="s">
        <v>150</v>
      </c>
      <c r="I174" s="24"/>
      <c r="M174" s="25"/>
      <c r="W174" s="25"/>
      <c r="AG174" s="25"/>
      <c r="AQ174" s="25"/>
      <c r="BA174" s="25"/>
      <c r="BK174" s="25"/>
      <c r="BU174" s="25"/>
      <c r="CE174" s="25"/>
      <c r="CO174" s="25"/>
      <c r="CY174" s="25"/>
      <c r="DI174" s="25"/>
      <c r="DS174" s="25"/>
      <c r="EC174" s="25"/>
      <c r="EM174" s="25"/>
      <c r="EW174" s="25"/>
      <c r="EZ174" s="35" t="str">
        <f aca="false">IF(AND(D174&gt;=2026,C174&lt;D174),"▶","")</f>
        <v>▶</v>
      </c>
    </row>
    <row r="175" customFormat="false" ht="21.75" hidden="false" customHeight="true" outlineLevel="0" collapsed="false">
      <c r="A175" s="46" t="s">
        <v>251</v>
      </c>
      <c r="B175" s="47" t="s">
        <v>252</v>
      </c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9"/>
      <c r="N175" s="48"/>
      <c r="O175" s="48"/>
      <c r="P175" s="48"/>
      <c r="Q175" s="48"/>
      <c r="R175" s="48"/>
      <c r="S175" s="48"/>
      <c r="T175" s="48"/>
      <c r="U175" s="48"/>
      <c r="V175" s="48"/>
      <c r="W175" s="49"/>
      <c r="X175" s="48"/>
      <c r="Y175" s="48"/>
      <c r="Z175" s="48"/>
      <c r="AA175" s="48"/>
      <c r="AB175" s="48"/>
      <c r="AC175" s="48"/>
      <c r="AD175" s="48"/>
      <c r="AE175" s="48"/>
      <c r="AF175" s="48"/>
      <c r="AG175" s="49"/>
      <c r="AH175" s="48"/>
      <c r="AI175" s="48"/>
      <c r="AJ175" s="48"/>
      <c r="AK175" s="48"/>
      <c r="AL175" s="48"/>
      <c r="AM175" s="48"/>
      <c r="AN175" s="48"/>
      <c r="AO175" s="48"/>
      <c r="AP175" s="48"/>
      <c r="AQ175" s="49"/>
      <c r="AR175" s="48"/>
      <c r="AS175" s="48"/>
      <c r="AT175" s="48"/>
      <c r="AU175" s="48"/>
      <c r="AV175" s="48"/>
      <c r="AW175" s="48"/>
      <c r="AX175" s="48"/>
      <c r="AY175" s="48"/>
      <c r="AZ175" s="48"/>
      <c r="BA175" s="49"/>
      <c r="BB175" s="48"/>
      <c r="BC175" s="48"/>
      <c r="BD175" s="48"/>
      <c r="BE175" s="48"/>
      <c r="BF175" s="48"/>
      <c r="BG175" s="48"/>
      <c r="BH175" s="48"/>
      <c r="BI175" s="48"/>
      <c r="BJ175" s="48"/>
      <c r="BK175" s="49"/>
      <c r="BL175" s="48"/>
      <c r="BM175" s="48"/>
      <c r="BN175" s="48"/>
      <c r="BO175" s="48"/>
      <c r="BP175" s="48"/>
      <c r="BQ175" s="48"/>
      <c r="BR175" s="48"/>
      <c r="BS175" s="48"/>
      <c r="BT175" s="48"/>
      <c r="BU175" s="49"/>
      <c r="BV175" s="48"/>
      <c r="BW175" s="48"/>
      <c r="BX175" s="48"/>
      <c r="BY175" s="48"/>
      <c r="BZ175" s="48"/>
      <c r="CA175" s="48"/>
      <c r="CB175" s="48"/>
      <c r="CC175" s="48"/>
      <c r="CD175" s="48"/>
      <c r="CE175" s="49"/>
      <c r="CF175" s="48"/>
      <c r="CG175" s="48"/>
      <c r="CH175" s="48"/>
      <c r="CI175" s="48"/>
      <c r="CJ175" s="48"/>
      <c r="CK175" s="48"/>
      <c r="CL175" s="48"/>
      <c r="CM175" s="48"/>
      <c r="CN175" s="48"/>
      <c r="CO175" s="49"/>
      <c r="CP175" s="48"/>
      <c r="CQ175" s="48"/>
      <c r="CR175" s="48"/>
      <c r="CS175" s="48"/>
      <c r="CT175" s="48"/>
      <c r="CU175" s="48"/>
      <c r="CV175" s="48"/>
      <c r="CW175" s="48"/>
      <c r="CX175" s="48"/>
      <c r="CY175" s="49"/>
      <c r="CZ175" s="48"/>
      <c r="DA175" s="48"/>
      <c r="DB175" s="48"/>
      <c r="DC175" s="48"/>
      <c r="DD175" s="48"/>
      <c r="DE175" s="48"/>
      <c r="DF175" s="48"/>
      <c r="DG175" s="48"/>
      <c r="DH175" s="48"/>
      <c r="DI175" s="49"/>
      <c r="DJ175" s="48"/>
      <c r="DK175" s="48"/>
      <c r="DL175" s="48"/>
      <c r="DM175" s="48"/>
      <c r="DN175" s="48"/>
      <c r="DO175" s="48"/>
      <c r="DP175" s="48"/>
      <c r="DQ175" s="48"/>
      <c r="DR175" s="48"/>
      <c r="DS175" s="49"/>
      <c r="DT175" s="48"/>
      <c r="DU175" s="48"/>
      <c r="DV175" s="48"/>
      <c r="DW175" s="48"/>
      <c r="DX175" s="48"/>
      <c r="DY175" s="48"/>
      <c r="DZ175" s="48"/>
      <c r="EA175" s="48"/>
      <c r="EB175" s="48"/>
      <c r="EC175" s="49"/>
      <c r="ED175" s="48"/>
      <c r="EE175" s="48"/>
      <c r="EF175" s="48"/>
      <c r="EG175" s="48"/>
      <c r="EH175" s="48"/>
      <c r="EI175" s="48"/>
      <c r="EJ175" s="48"/>
      <c r="EK175" s="48"/>
      <c r="EL175" s="48"/>
      <c r="EM175" s="49"/>
      <c r="EN175" s="48"/>
      <c r="EO175" s="48"/>
      <c r="EP175" s="48"/>
      <c r="EQ175" s="48"/>
      <c r="ER175" s="48"/>
      <c r="ES175" s="48"/>
      <c r="ET175" s="48"/>
      <c r="EU175" s="48"/>
      <c r="EV175" s="48"/>
      <c r="EW175" s="49"/>
      <c r="EX175" s="48"/>
      <c r="EY175" s="48"/>
      <c r="EZ175" s="48"/>
    </row>
    <row r="176" customFormat="false" ht="12.75" hidden="false" customHeight="true" outlineLevel="0" collapsed="false">
      <c r="A176" s="19" t="s">
        <v>253</v>
      </c>
      <c r="B176" s="27" t="s">
        <v>254</v>
      </c>
      <c r="C176" s="21" t="n">
        <v>632</v>
      </c>
      <c r="D176" s="21" t="n">
        <v>750</v>
      </c>
      <c r="E176" s="22" t="str">
        <f aca="false">IF(C176=D176,"событие",IF(D176&gt;=2026,IF(A176="Личности","жив","существует"),"в прошлом"))</f>
        <v>в прошлом</v>
      </c>
      <c r="F176" s="23" t="n">
        <f aca="false">IF(C176=D176,"",D176-C176)</f>
        <v>118</v>
      </c>
      <c r="G176" s="23"/>
      <c r="H176" s="19" t="s">
        <v>139</v>
      </c>
      <c r="I176" s="24"/>
      <c r="M176" s="25"/>
      <c r="W176" s="25"/>
      <c r="AG176" s="25"/>
      <c r="AQ176" s="25"/>
      <c r="BA176" s="25"/>
      <c r="BK176" s="25"/>
      <c r="BU176" s="25"/>
      <c r="CE176" s="25"/>
      <c r="CO176" s="25"/>
      <c r="CY176" s="25"/>
      <c r="DI176" s="25"/>
      <c r="DS176" s="25"/>
      <c r="EC176" s="25"/>
      <c r="EM176" s="25"/>
      <c r="EW176" s="25"/>
      <c r="EZ176" s="32" t="str">
        <f aca="false">IF(AND(D176&gt;=2026,C176&lt;D176),"▶","")</f>
        <v/>
      </c>
    </row>
    <row r="177" customFormat="false" ht="12.75" hidden="false" customHeight="true" outlineLevel="0" collapsed="false">
      <c r="A177" s="19" t="s">
        <v>253</v>
      </c>
      <c r="B177" s="27" t="s">
        <v>255</v>
      </c>
      <c r="C177" s="21" t="n">
        <v>750</v>
      </c>
      <c r="D177" s="21" t="n">
        <v>2026</v>
      </c>
      <c r="E177" s="22" t="str">
        <f aca="false">IF(C177=D177,"событие",IF(D177&gt;=2026,IF(A177="Личности","жив","существует"),"в прошлом"))</f>
        <v>существует</v>
      </c>
      <c r="F177" s="23" t="n">
        <f aca="false">IF(C177=D177,"",D177-C177)</f>
        <v>1276</v>
      </c>
      <c r="G177" s="23" t="s">
        <v>256</v>
      </c>
      <c r="H177" s="19" t="s">
        <v>139</v>
      </c>
      <c r="I177" s="24"/>
      <c r="M177" s="25"/>
      <c r="W177" s="25"/>
      <c r="AG177" s="25"/>
      <c r="AQ177" s="25"/>
      <c r="BA177" s="25"/>
      <c r="BK177" s="25"/>
      <c r="BU177" s="25"/>
      <c r="CE177" s="25"/>
      <c r="CO177" s="25"/>
      <c r="CY177" s="25"/>
      <c r="DI177" s="25"/>
      <c r="DS177" s="25"/>
      <c r="EC177" s="25"/>
      <c r="EM177" s="25"/>
      <c r="EW177" s="25"/>
      <c r="EZ177" s="32" t="str">
        <f aca="false">IF(AND(D177&gt;=2026,C177&lt;D177),"▶","")</f>
        <v>▶</v>
      </c>
    </row>
    <row r="178" customFormat="false" ht="12.75" hidden="false" customHeight="true" outlineLevel="0" collapsed="false">
      <c r="A178" s="19" t="s">
        <v>253</v>
      </c>
      <c r="B178" s="27" t="s">
        <v>257</v>
      </c>
      <c r="C178" s="21" t="n">
        <v>760</v>
      </c>
      <c r="D178" s="21" t="n">
        <v>950</v>
      </c>
      <c r="E178" s="22" t="str">
        <f aca="false">IF(C178=D178,"событие",IF(D178&gt;=2026,IF(A178="Личности","жив","существует"),"в прошлом"))</f>
        <v>в прошлом</v>
      </c>
      <c r="F178" s="23" t="n">
        <f aca="false">IF(C178=D178,"",D178-C178)</f>
        <v>190</v>
      </c>
      <c r="G178" s="23" t="s">
        <v>256</v>
      </c>
      <c r="H178" s="19" t="s">
        <v>139</v>
      </c>
      <c r="I178" s="24"/>
      <c r="M178" s="25"/>
      <c r="W178" s="25"/>
      <c r="AG178" s="25"/>
      <c r="AQ178" s="25"/>
      <c r="BA178" s="25"/>
      <c r="BK178" s="25"/>
      <c r="BU178" s="25"/>
      <c r="CE178" s="25"/>
      <c r="CO178" s="25"/>
      <c r="CY178" s="25"/>
      <c r="DI178" s="25"/>
      <c r="DS178" s="25"/>
      <c r="EC178" s="25"/>
      <c r="EM178" s="25"/>
      <c r="EW178" s="25"/>
      <c r="EZ178" s="32" t="str">
        <f aca="false">IF(AND(D178&gt;=2026,C178&lt;D178),"▶","")</f>
        <v/>
      </c>
    </row>
    <row r="179" customFormat="false" ht="12.75" hidden="false" customHeight="true" outlineLevel="0" collapsed="false">
      <c r="A179" s="19" t="s">
        <v>253</v>
      </c>
      <c r="B179" s="27" t="s">
        <v>258</v>
      </c>
      <c r="C179" s="21" t="n">
        <v>760</v>
      </c>
      <c r="D179" s="21" t="n">
        <v>2026</v>
      </c>
      <c r="E179" s="22" t="str">
        <f aca="false">IF(C179=D179,"событие",IF(D179&gt;=2026,IF(A179="Личности","жив","существует"),"в прошлом"))</f>
        <v>существует</v>
      </c>
      <c r="F179" s="23" t="n">
        <f aca="false">IF(C179=D179,"",D179-C179)</f>
        <v>1266</v>
      </c>
      <c r="G179" s="23" t="s">
        <v>256</v>
      </c>
      <c r="H179" s="19" t="s">
        <v>139</v>
      </c>
      <c r="I179" s="24"/>
      <c r="M179" s="25"/>
      <c r="W179" s="25"/>
      <c r="AG179" s="25"/>
      <c r="AQ179" s="25"/>
      <c r="BA179" s="25"/>
      <c r="BK179" s="25"/>
      <c r="BU179" s="25"/>
      <c r="CE179" s="25"/>
      <c r="CO179" s="25"/>
      <c r="CY179" s="25"/>
      <c r="DI179" s="25"/>
      <c r="DS179" s="25"/>
      <c r="EC179" s="25"/>
      <c r="EM179" s="25"/>
      <c r="EW179" s="25"/>
      <c r="EZ179" s="32" t="str">
        <f aca="false">IF(AND(D179&gt;=2026,C179&lt;D179),"▶","")</f>
        <v>▶</v>
      </c>
    </row>
    <row r="180" customFormat="false" ht="12.75" hidden="false" customHeight="true" outlineLevel="0" collapsed="false">
      <c r="A180" s="19" t="s">
        <v>253</v>
      </c>
      <c r="B180" s="27" t="s">
        <v>259</v>
      </c>
      <c r="C180" s="21" t="n">
        <v>770</v>
      </c>
      <c r="D180" s="21" t="n">
        <v>1050</v>
      </c>
      <c r="E180" s="22" t="str">
        <f aca="false">IF(C180=D180,"событие",IF(D180&gt;=2026,IF(A180="Личности","жив","существует"),"в прошлом"))</f>
        <v>в прошлом</v>
      </c>
      <c r="F180" s="23" t="n">
        <f aca="false">IF(C180=D180,"",D180-C180)</f>
        <v>280</v>
      </c>
      <c r="G180" s="23" t="s">
        <v>256</v>
      </c>
      <c r="H180" s="19" t="s">
        <v>139</v>
      </c>
      <c r="I180" s="24"/>
      <c r="M180" s="25"/>
      <c r="W180" s="25"/>
      <c r="AG180" s="25"/>
      <c r="AQ180" s="25"/>
      <c r="BA180" s="25"/>
      <c r="BK180" s="25"/>
      <c r="BU180" s="25"/>
      <c r="CE180" s="25"/>
      <c r="CO180" s="25"/>
      <c r="CY180" s="25"/>
      <c r="DI180" s="25"/>
      <c r="DS180" s="25"/>
      <c r="EC180" s="25"/>
      <c r="EM180" s="25"/>
      <c r="EW180" s="25"/>
      <c r="EZ180" s="32" t="str">
        <f aca="false">IF(AND(D180&gt;=2026,C180&lt;D180),"▶","")</f>
        <v/>
      </c>
    </row>
    <row r="181" customFormat="false" ht="12.75" hidden="false" customHeight="true" outlineLevel="0" collapsed="false">
      <c r="A181" s="19" t="s">
        <v>253</v>
      </c>
      <c r="B181" s="27" t="s">
        <v>260</v>
      </c>
      <c r="C181" s="21" t="n">
        <v>770</v>
      </c>
      <c r="D181" s="21" t="n">
        <v>2026</v>
      </c>
      <c r="E181" s="22" t="str">
        <f aca="false">IF(C181=D181,"событие",IF(D181&gt;=2026,IF(A181="Личности","жив","существует"),"в прошлом"))</f>
        <v>существует</v>
      </c>
      <c r="F181" s="23" t="n">
        <f aca="false">IF(C181=D181,"",D181-C181)</f>
        <v>1256</v>
      </c>
      <c r="G181" s="23" t="s">
        <v>256</v>
      </c>
      <c r="H181" s="19" t="s">
        <v>139</v>
      </c>
      <c r="I181" s="24"/>
      <c r="M181" s="25"/>
      <c r="W181" s="25"/>
      <c r="AG181" s="25"/>
      <c r="AQ181" s="25"/>
      <c r="BA181" s="25"/>
      <c r="BK181" s="25"/>
      <c r="BU181" s="25"/>
      <c r="CE181" s="25"/>
      <c r="CO181" s="25"/>
      <c r="CY181" s="25"/>
      <c r="DI181" s="25"/>
      <c r="DS181" s="25"/>
      <c r="EC181" s="25"/>
      <c r="EM181" s="25"/>
      <c r="EW181" s="25"/>
      <c r="EZ181" s="32" t="str">
        <f aca="false">IF(AND(D181&gt;=2026,C181&lt;D181),"▶","")</f>
        <v>▶</v>
      </c>
    </row>
    <row r="182" customFormat="false" ht="12.75" hidden="false" customHeight="true" outlineLevel="0" collapsed="false">
      <c r="A182" s="19" t="s">
        <v>253</v>
      </c>
      <c r="B182" s="27" t="s">
        <v>261</v>
      </c>
      <c r="C182" s="21" t="n">
        <v>780</v>
      </c>
      <c r="D182" s="21" t="n">
        <v>850</v>
      </c>
      <c r="E182" s="22" t="str">
        <f aca="false">IF(C182=D182,"событие",IF(D182&gt;=2026,IF(A182="Личности","жив","существует"),"в прошлом"))</f>
        <v>в прошлом</v>
      </c>
      <c r="F182" s="23" t="n">
        <f aca="false">IF(C182=D182,"",D182-C182)</f>
        <v>70</v>
      </c>
      <c r="G182" s="23" t="s">
        <v>256</v>
      </c>
      <c r="H182" s="19" t="s">
        <v>139</v>
      </c>
      <c r="I182" s="24"/>
      <c r="M182" s="25"/>
      <c r="W182" s="25"/>
      <c r="AG182" s="25"/>
      <c r="AQ182" s="25"/>
      <c r="BA182" s="25"/>
      <c r="BK182" s="25"/>
      <c r="BU182" s="25"/>
      <c r="CE182" s="25"/>
      <c r="CO182" s="25"/>
      <c r="CY182" s="25"/>
      <c r="DI182" s="25"/>
      <c r="DS182" s="25"/>
      <c r="EC182" s="25"/>
      <c r="EM182" s="25"/>
      <c r="EW182" s="25"/>
      <c r="EZ182" s="32" t="str">
        <f aca="false">IF(AND(D182&gt;=2026,C182&lt;D182),"▶","")</f>
        <v/>
      </c>
    </row>
    <row r="183" customFormat="false" ht="12.75" hidden="false" customHeight="true" outlineLevel="0" collapsed="false">
      <c r="A183" s="19" t="s">
        <v>253</v>
      </c>
      <c r="B183" s="27" t="s">
        <v>262</v>
      </c>
      <c r="C183" s="21" t="n">
        <v>815</v>
      </c>
      <c r="D183" s="21" t="n">
        <v>2026</v>
      </c>
      <c r="E183" s="22" t="str">
        <f aca="false">IF(C183=D183,"событие",IF(D183&gt;=2026,IF(A183="Личности","жив","существует"),"в прошлом"))</f>
        <v>существует</v>
      </c>
      <c r="F183" s="23" t="n">
        <f aca="false">IF(C183=D183,"",D183-C183)</f>
        <v>1211</v>
      </c>
      <c r="G183" s="23" t="s">
        <v>256</v>
      </c>
      <c r="H183" s="19" t="s">
        <v>139</v>
      </c>
      <c r="I183" s="24"/>
      <c r="M183" s="25"/>
      <c r="W183" s="25"/>
      <c r="AG183" s="25"/>
      <c r="AQ183" s="25"/>
      <c r="BA183" s="25"/>
      <c r="BK183" s="25"/>
      <c r="BU183" s="25"/>
      <c r="CE183" s="25"/>
      <c r="CO183" s="25"/>
      <c r="CY183" s="25"/>
      <c r="DI183" s="25"/>
      <c r="DS183" s="25"/>
      <c r="EC183" s="25"/>
      <c r="EM183" s="25"/>
      <c r="EW183" s="25"/>
      <c r="EZ183" s="32" t="str">
        <f aca="false">IF(AND(D183&gt;=2026,C183&lt;D183),"▶","")</f>
        <v>▶</v>
      </c>
    </row>
    <row r="184" customFormat="false" ht="12.75" hidden="false" customHeight="true" outlineLevel="0" collapsed="false">
      <c r="A184" s="19" t="s">
        <v>253</v>
      </c>
      <c r="B184" s="27" t="s">
        <v>263</v>
      </c>
      <c r="C184" s="21" t="n">
        <v>850</v>
      </c>
      <c r="D184" s="21" t="n">
        <v>2026</v>
      </c>
      <c r="E184" s="22" t="str">
        <f aca="false">IF(C184=D184,"событие",IF(D184&gt;=2026,IF(A184="Личности","жив","существует"),"в прошлом"))</f>
        <v>существует</v>
      </c>
      <c r="F184" s="23" t="n">
        <f aca="false">IF(C184=D184,"",D184-C184)</f>
        <v>1176</v>
      </c>
      <c r="G184" s="23" t="s">
        <v>264</v>
      </c>
      <c r="H184" s="19" t="s">
        <v>139</v>
      </c>
      <c r="I184" s="24"/>
      <c r="M184" s="25"/>
      <c r="W184" s="25"/>
      <c r="AG184" s="25"/>
      <c r="AQ184" s="25"/>
      <c r="BA184" s="25"/>
      <c r="BK184" s="25"/>
      <c r="BU184" s="25"/>
      <c r="CE184" s="25"/>
      <c r="CO184" s="25"/>
      <c r="CY184" s="25"/>
      <c r="DI184" s="25"/>
      <c r="DS184" s="25"/>
      <c r="EC184" s="25"/>
      <c r="EM184" s="25"/>
      <c r="EW184" s="25"/>
      <c r="EZ184" s="32" t="str">
        <f aca="false">IF(AND(D184&gt;=2026,C184&lt;D184),"▶","")</f>
        <v>▶</v>
      </c>
    </row>
    <row r="185" customFormat="false" ht="12.75" hidden="false" customHeight="true" outlineLevel="0" collapsed="false">
      <c r="A185" s="19" t="s">
        <v>253</v>
      </c>
      <c r="B185" s="27" t="s">
        <v>265</v>
      </c>
      <c r="C185" s="21" t="n">
        <v>870</v>
      </c>
      <c r="D185" s="21" t="n">
        <v>1400</v>
      </c>
      <c r="E185" s="22" t="str">
        <f aca="false">IF(C185=D185,"событие",IF(D185&gt;=2026,IF(A185="Личности","жив","существует"),"в прошлом"))</f>
        <v>в прошлом</v>
      </c>
      <c r="F185" s="23" t="n">
        <f aca="false">IF(C185=D185,"",D185-C185)</f>
        <v>530</v>
      </c>
      <c r="G185" s="23" t="s">
        <v>264</v>
      </c>
      <c r="H185" s="19" t="s">
        <v>139</v>
      </c>
      <c r="I185" s="24"/>
      <c r="M185" s="25"/>
      <c r="W185" s="25"/>
      <c r="AG185" s="25"/>
      <c r="AQ185" s="25"/>
      <c r="BA185" s="25"/>
      <c r="BK185" s="25"/>
      <c r="BU185" s="25"/>
      <c r="CE185" s="25"/>
      <c r="CO185" s="25"/>
      <c r="CY185" s="25"/>
      <c r="DI185" s="25"/>
      <c r="DS185" s="25"/>
      <c r="EC185" s="25"/>
      <c r="EM185" s="25"/>
      <c r="EW185" s="25"/>
      <c r="EZ185" s="32" t="str">
        <f aca="false">IF(AND(D185&gt;=2026,C185&lt;D185),"▶","")</f>
        <v/>
      </c>
    </row>
    <row r="186" customFormat="false" ht="12.75" hidden="false" customHeight="true" outlineLevel="0" collapsed="false">
      <c r="A186" s="19" t="s">
        <v>253</v>
      </c>
      <c r="B186" s="27" t="s">
        <v>266</v>
      </c>
      <c r="C186" s="21" t="n">
        <v>900</v>
      </c>
      <c r="D186" s="21" t="n">
        <v>1050</v>
      </c>
      <c r="E186" s="22" t="str">
        <f aca="false">IF(C186=D186,"событие",IF(D186&gt;=2026,IF(A186="Личности","жив","существует"),"в прошлом"))</f>
        <v>в прошлом</v>
      </c>
      <c r="F186" s="23" t="n">
        <f aca="false">IF(C186=D186,"",D186-C186)</f>
        <v>150</v>
      </c>
      <c r="G186" s="23" t="s">
        <v>256</v>
      </c>
      <c r="H186" s="19" t="s">
        <v>139</v>
      </c>
      <c r="I186" s="24"/>
      <c r="M186" s="25"/>
      <c r="W186" s="25"/>
      <c r="AG186" s="25"/>
      <c r="AQ186" s="25"/>
      <c r="BA186" s="25"/>
      <c r="BK186" s="25"/>
      <c r="BU186" s="25"/>
      <c r="CE186" s="25"/>
      <c r="CO186" s="25"/>
      <c r="CY186" s="25"/>
      <c r="DI186" s="25"/>
      <c r="DS186" s="25"/>
      <c r="EC186" s="25"/>
      <c r="EM186" s="25"/>
      <c r="EW186" s="25"/>
      <c r="EZ186" s="32" t="str">
        <f aca="false">IF(AND(D186&gt;=2026,C186&lt;D186),"▶","")</f>
        <v/>
      </c>
    </row>
    <row r="187" customFormat="false" ht="12.75" hidden="false" customHeight="true" outlineLevel="0" collapsed="false">
      <c r="A187" s="19" t="s">
        <v>253</v>
      </c>
      <c r="B187" s="27" t="s">
        <v>267</v>
      </c>
      <c r="C187" s="21" t="n">
        <v>912</v>
      </c>
      <c r="D187" s="21" t="n">
        <v>2026</v>
      </c>
      <c r="E187" s="22" t="str">
        <f aca="false">IF(C187=D187,"событие",IF(D187&gt;=2026,IF(A187="Личности","жив","существует"),"в прошлом"))</f>
        <v>существует</v>
      </c>
      <c r="F187" s="23" t="n">
        <f aca="false">IF(C187=D187,"",D187-C187)</f>
        <v>1114</v>
      </c>
      <c r="G187" s="23" t="s">
        <v>264</v>
      </c>
      <c r="H187" s="19" t="s">
        <v>139</v>
      </c>
      <c r="I187" s="24"/>
      <c r="M187" s="25"/>
      <c r="W187" s="25"/>
      <c r="AG187" s="25"/>
      <c r="AQ187" s="25"/>
      <c r="BA187" s="25"/>
      <c r="BK187" s="25"/>
      <c r="BU187" s="25"/>
      <c r="CE187" s="25"/>
      <c r="CO187" s="25"/>
      <c r="CY187" s="25"/>
      <c r="DI187" s="25"/>
      <c r="DS187" s="25"/>
      <c r="EC187" s="25"/>
      <c r="EM187" s="25"/>
      <c r="EW187" s="25"/>
      <c r="EZ187" s="32" t="str">
        <f aca="false">IF(AND(D187&gt;=2026,C187&lt;D187),"▶","")</f>
        <v>▶</v>
      </c>
    </row>
    <row r="188" customFormat="false" ht="12.75" hidden="false" customHeight="true" outlineLevel="0" collapsed="false">
      <c r="A188" s="19" t="s">
        <v>253</v>
      </c>
      <c r="B188" s="27" t="s">
        <v>268</v>
      </c>
      <c r="C188" s="21" t="n">
        <v>930</v>
      </c>
      <c r="D188" s="21" t="n">
        <v>2026</v>
      </c>
      <c r="E188" s="22" t="str">
        <f aca="false">IF(C188=D188,"событие",IF(D188&gt;=2026,IF(A188="Личности","жив","существует"),"в прошлом"))</f>
        <v>существует</v>
      </c>
      <c r="F188" s="23" t="n">
        <f aca="false">IF(C188=D188,"",D188-C188)</f>
        <v>1096</v>
      </c>
      <c r="G188" s="23" t="s">
        <v>269</v>
      </c>
      <c r="H188" s="19" t="s">
        <v>139</v>
      </c>
      <c r="I188" s="24"/>
      <c r="M188" s="25"/>
      <c r="W188" s="25"/>
      <c r="AG188" s="25"/>
      <c r="AQ188" s="25"/>
      <c r="BA188" s="25"/>
      <c r="BK188" s="25"/>
      <c r="BU188" s="25"/>
      <c r="CE188" s="25"/>
      <c r="CO188" s="25"/>
      <c r="CY188" s="25"/>
      <c r="DI188" s="25"/>
      <c r="DS188" s="25"/>
      <c r="EC188" s="25"/>
      <c r="EM188" s="25"/>
      <c r="EW188" s="25"/>
      <c r="EZ188" s="32" t="str">
        <f aca="false">IF(AND(D188&gt;=2026,C188&lt;D188),"▶","")</f>
        <v>▶</v>
      </c>
    </row>
    <row r="189" customFormat="false" ht="21.75" hidden="false" customHeight="true" outlineLevel="0" collapsed="false">
      <c r="A189" s="50" t="s">
        <v>270</v>
      </c>
      <c r="B189" s="51" t="s">
        <v>271</v>
      </c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3"/>
      <c r="N189" s="52"/>
      <c r="O189" s="52"/>
      <c r="P189" s="52"/>
      <c r="Q189" s="52"/>
      <c r="R189" s="52"/>
      <c r="S189" s="52"/>
      <c r="T189" s="52"/>
      <c r="U189" s="52"/>
      <c r="V189" s="52"/>
      <c r="W189" s="53"/>
      <c r="X189" s="52"/>
      <c r="Y189" s="52"/>
      <c r="Z189" s="52"/>
      <c r="AA189" s="52"/>
      <c r="AB189" s="52"/>
      <c r="AC189" s="52"/>
      <c r="AD189" s="52"/>
      <c r="AE189" s="52"/>
      <c r="AF189" s="52"/>
      <c r="AG189" s="53"/>
      <c r="AH189" s="52"/>
      <c r="AI189" s="52"/>
      <c r="AJ189" s="52"/>
      <c r="AK189" s="52"/>
      <c r="AL189" s="52"/>
      <c r="AM189" s="52"/>
      <c r="AN189" s="52"/>
      <c r="AO189" s="52"/>
      <c r="AP189" s="52"/>
      <c r="AQ189" s="53"/>
      <c r="AR189" s="52"/>
      <c r="AS189" s="52"/>
      <c r="AT189" s="52"/>
      <c r="AU189" s="52"/>
      <c r="AV189" s="52"/>
      <c r="AW189" s="52"/>
      <c r="AX189" s="52"/>
      <c r="AY189" s="52"/>
      <c r="AZ189" s="52"/>
      <c r="BA189" s="53"/>
      <c r="BB189" s="52"/>
      <c r="BC189" s="52"/>
      <c r="BD189" s="52"/>
      <c r="BE189" s="52"/>
      <c r="BF189" s="52"/>
      <c r="BG189" s="52"/>
      <c r="BH189" s="52"/>
      <c r="BI189" s="52"/>
      <c r="BJ189" s="52"/>
      <c r="BK189" s="53"/>
      <c r="BL189" s="52"/>
      <c r="BM189" s="52"/>
      <c r="BN189" s="52"/>
      <c r="BO189" s="52"/>
      <c r="BP189" s="52"/>
      <c r="BQ189" s="52"/>
      <c r="BR189" s="52"/>
      <c r="BS189" s="52"/>
      <c r="BT189" s="52"/>
      <c r="BU189" s="53"/>
      <c r="BV189" s="52"/>
      <c r="BW189" s="52"/>
      <c r="BX189" s="52"/>
      <c r="BY189" s="52"/>
      <c r="BZ189" s="52"/>
      <c r="CA189" s="52"/>
      <c r="CB189" s="52"/>
      <c r="CC189" s="52"/>
      <c r="CD189" s="52"/>
      <c r="CE189" s="53"/>
      <c r="CF189" s="52"/>
      <c r="CG189" s="52"/>
      <c r="CH189" s="52"/>
      <c r="CI189" s="52"/>
      <c r="CJ189" s="52"/>
      <c r="CK189" s="52"/>
      <c r="CL189" s="52"/>
      <c r="CM189" s="52"/>
      <c r="CN189" s="52"/>
      <c r="CO189" s="53"/>
      <c r="CP189" s="52"/>
      <c r="CQ189" s="52"/>
      <c r="CR189" s="52"/>
      <c r="CS189" s="52"/>
      <c r="CT189" s="52"/>
      <c r="CU189" s="52"/>
      <c r="CV189" s="52"/>
      <c r="CW189" s="52"/>
      <c r="CX189" s="52"/>
      <c r="CY189" s="53"/>
      <c r="CZ189" s="52"/>
      <c r="DA189" s="52"/>
      <c r="DB189" s="52"/>
      <c r="DC189" s="52"/>
      <c r="DD189" s="52"/>
      <c r="DE189" s="52"/>
      <c r="DF189" s="52"/>
      <c r="DG189" s="52"/>
      <c r="DH189" s="52"/>
      <c r="DI189" s="53"/>
      <c r="DJ189" s="52"/>
      <c r="DK189" s="52"/>
      <c r="DL189" s="52"/>
      <c r="DM189" s="52"/>
      <c r="DN189" s="52"/>
      <c r="DO189" s="52"/>
      <c r="DP189" s="52"/>
      <c r="DQ189" s="52"/>
      <c r="DR189" s="52"/>
      <c r="DS189" s="53"/>
      <c r="DT189" s="52"/>
      <c r="DU189" s="52"/>
      <c r="DV189" s="52"/>
      <c r="DW189" s="52"/>
      <c r="DX189" s="52"/>
      <c r="DY189" s="52"/>
      <c r="DZ189" s="52"/>
      <c r="EA189" s="52"/>
      <c r="EB189" s="52"/>
      <c r="EC189" s="53"/>
      <c r="ED189" s="52"/>
      <c r="EE189" s="52"/>
      <c r="EF189" s="52"/>
      <c r="EG189" s="52"/>
      <c r="EH189" s="52"/>
      <c r="EI189" s="52"/>
      <c r="EJ189" s="52"/>
      <c r="EK189" s="52"/>
      <c r="EL189" s="52"/>
      <c r="EM189" s="53"/>
      <c r="EN189" s="52"/>
      <c r="EO189" s="52"/>
      <c r="EP189" s="52"/>
      <c r="EQ189" s="52"/>
      <c r="ER189" s="52"/>
      <c r="ES189" s="52"/>
      <c r="ET189" s="52"/>
      <c r="EU189" s="52"/>
      <c r="EV189" s="52"/>
      <c r="EW189" s="53"/>
      <c r="EX189" s="52"/>
      <c r="EY189" s="52"/>
      <c r="EZ189" s="52"/>
    </row>
    <row r="190" customFormat="false" ht="12.75" hidden="false" customHeight="true" outlineLevel="0" collapsed="false">
      <c r="A190" s="19" t="s">
        <v>272</v>
      </c>
      <c r="B190" s="27" t="s">
        <v>273</v>
      </c>
      <c r="C190" s="21" t="n">
        <v>690</v>
      </c>
      <c r="D190" s="21" t="n">
        <v>780</v>
      </c>
      <c r="E190" s="22" t="str">
        <f aca="false">IF(C190=D190,"событие",IF(D190&gt;=2026,IF(A190="Личности","жив","существует"),"в прошлом"))</f>
        <v>в прошлом</v>
      </c>
      <c r="F190" s="23" t="n">
        <f aca="false">IF(C190=D190,"",D190-C190)</f>
        <v>90</v>
      </c>
      <c r="G190" s="23"/>
      <c r="H190" s="19" t="s">
        <v>274</v>
      </c>
      <c r="I190" s="24"/>
      <c r="M190" s="25"/>
      <c r="W190" s="25"/>
      <c r="AG190" s="25"/>
      <c r="AQ190" s="25"/>
      <c r="BA190" s="25"/>
      <c r="BK190" s="25"/>
      <c r="BU190" s="25"/>
      <c r="CE190" s="25"/>
      <c r="CO190" s="25"/>
      <c r="CY190" s="25"/>
      <c r="DI190" s="25"/>
      <c r="DS190" s="25"/>
      <c r="EC190" s="25"/>
      <c r="EM190" s="25"/>
      <c r="EW190" s="25"/>
      <c r="EZ190" s="54" t="str">
        <f aca="false">IF(AND(D190&gt;=2026,C190&lt;D190),"▶","")</f>
        <v/>
      </c>
    </row>
    <row r="191" customFormat="false" ht="12.75" hidden="false" customHeight="true" outlineLevel="0" collapsed="false">
      <c r="A191" s="19" t="s">
        <v>272</v>
      </c>
      <c r="B191" s="27" t="s">
        <v>275</v>
      </c>
      <c r="C191" s="21" t="n">
        <v>690</v>
      </c>
      <c r="D191" s="21" t="n">
        <v>1000</v>
      </c>
      <c r="E191" s="22" t="str">
        <f aca="false">IF(C191=D191,"событие",IF(D191&gt;=2026,IF(A191="Личности","жив","существует"),"в прошлом"))</f>
        <v>в прошлом</v>
      </c>
      <c r="F191" s="23" t="n">
        <f aca="false">IF(C191=D191,"",D191-C191)</f>
        <v>310</v>
      </c>
      <c r="G191" s="23"/>
      <c r="H191" s="19" t="s">
        <v>274</v>
      </c>
      <c r="I191" s="24"/>
      <c r="M191" s="25"/>
      <c r="W191" s="25"/>
      <c r="AG191" s="25"/>
      <c r="AQ191" s="25"/>
      <c r="BA191" s="25"/>
      <c r="BK191" s="25"/>
      <c r="BU191" s="25"/>
      <c r="CE191" s="25"/>
      <c r="CO191" s="25"/>
      <c r="CY191" s="25"/>
      <c r="DI191" s="25"/>
      <c r="DS191" s="25"/>
      <c r="EC191" s="25"/>
      <c r="EM191" s="25"/>
      <c r="EW191" s="25"/>
      <c r="EZ191" s="54" t="str">
        <f aca="false">IF(AND(D191&gt;=2026,C191&lt;D191),"▶","")</f>
        <v/>
      </c>
    </row>
    <row r="192" customFormat="false" ht="12.75" hidden="false" customHeight="true" outlineLevel="0" collapsed="false">
      <c r="A192" s="19" t="s">
        <v>272</v>
      </c>
      <c r="B192" s="27" t="s">
        <v>276</v>
      </c>
      <c r="C192" s="21" t="n">
        <v>730</v>
      </c>
      <c r="D192" s="21" t="n">
        <v>850</v>
      </c>
      <c r="E192" s="22" t="str">
        <f aca="false">IF(C192=D192,"событие",IF(D192&gt;=2026,IF(A192="Личности","жив","существует"),"в прошлом"))</f>
        <v>в прошлом</v>
      </c>
      <c r="F192" s="23" t="n">
        <f aca="false">IF(C192=D192,"",D192-C192)</f>
        <v>120</v>
      </c>
      <c r="G192" s="23"/>
      <c r="H192" s="19" t="s">
        <v>274</v>
      </c>
      <c r="I192" s="24"/>
      <c r="M192" s="25"/>
      <c r="W192" s="25"/>
      <c r="AG192" s="25"/>
      <c r="AQ192" s="25"/>
      <c r="BA192" s="25"/>
      <c r="BK192" s="25"/>
      <c r="BU192" s="25"/>
      <c r="CE192" s="25"/>
      <c r="CO192" s="25"/>
      <c r="CY192" s="25"/>
      <c r="DI192" s="25"/>
      <c r="DS192" s="25"/>
      <c r="EC192" s="25"/>
      <c r="EM192" s="25"/>
      <c r="EW192" s="25"/>
      <c r="EZ192" s="54" t="str">
        <f aca="false">IF(AND(D192&gt;=2026,C192&lt;D192),"▶","")</f>
        <v/>
      </c>
    </row>
    <row r="193" customFormat="false" ht="12.75" hidden="false" customHeight="true" outlineLevel="0" collapsed="false">
      <c r="A193" s="19" t="s">
        <v>272</v>
      </c>
      <c r="B193" s="27" t="s">
        <v>277</v>
      </c>
      <c r="C193" s="21" t="n">
        <v>740</v>
      </c>
      <c r="D193" s="21" t="n">
        <v>1100</v>
      </c>
      <c r="E193" s="22" t="str">
        <f aca="false">IF(C193=D193,"событие",IF(D193&gt;=2026,IF(A193="Личности","жив","существует"),"в прошлом"))</f>
        <v>в прошлом</v>
      </c>
      <c r="F193" s="23" t="n">
        <f aca="false">IF(C193=D193,"",D193-C193)</f>
        <v>360</v>
      </c>
      <c r="G193" s="23" t="s">
        <v>278</v>
      </c>
      <c r="H193" s="19" t="s">
        <v>274</v>
      </c>
      <c r="I193" s="24"/>
      <c r="M193" s="25"/>
      <c r="W193" s="25"/>
      <c r="AG193" s="25"/>
      <c r="AQ193" s="25"/>
      <c r="BA193" s="25"/>
      <c r="BK193" s="25"/>
      <c r="BU193" s="25"/>
      <c r="CE193" s="25"/>
      <c r="CO193" s="25"/>
      <c r="CY193" s="25"/>
      <c r="DI193" s="25"/>
      <c r="DS193" s="25"/>
      <c r="EC193" s="25"/>
      <c r="EM193" s="25"/>
      <c r="EW193" s="25"/>
      <c r="EZ193" s="54" t="str">
        <f aca="false">IF(AND(D193&gt;=2026,C193&lt;D193),"▶","")</f>
        <v/>
      </c>
    </row>
    <row r="194" customFormat="false" ht="12.75" hidden="false" customHeight="true" outlineLevel="0" collapsed="false">
      <c r="A194" s="19" t="s">
        <v>272</v>
      </c>
      <c r="B194" s="27" t="s">
        <v>279</v>
      </c>
      <c r="C194" s="21" t="n">
        <v>830</v>
      </c>
      <c r="D194" s="21" t="n">
        <v>1050</v>
      </c>
      <c r="E194" s="22" t="str">
        <f aca="false">IF(C194=D194,"событие",IF(D194&gt;=2026,IF(A194="Личности","жив","существует"),"в прошлом"))</f>
        <v>в прошлом</v>
      </c>
      <c r="F194" s="23" t="n">
        <f aca="false">IF(C194=D194,"",D194-C194)</f>
        <v>220</v>
      </c>
      <c r="G194" s="23"/>
      <c r="H194" s="19" t="s">
        <v>274</v>
      </c>
      <c r="I194" s="24"/>
      <c r="M194" s="25"/>
      <c r="W194" s="25"/>
      <c r="AG194" s="25"/>
      <c r="AQ194" s="25"/>
      <c r="BA194" s="25"/>
      <c r="BK194" s="25"/>
      <c r="BU194" s="25"/>
      <c r="CE194" s="25"/>
      <c r="CO194" s="25"/>
      <c r="CY194" s="25"/>
      <c r="DI194" s="25"/>
      <c r="DS194" s="25"/>
      <c r="EC194" s="25"/>
      <c r="EM194" s="25"/>
      <c r="EW194" s="25"/>
      <c r="EZ194" s="54" t="str">
        <f aca="false">IF(AND(D194&gt;=2026,C194&lt;D194),"▶","")</f>
        <v/>
      </c>
    </row>
    <row r="195" customFormat="false" ht="12.75" hidden="false" customHeight="true" outlineLevel="0" collapsed="false">
      <c r="A195" s="19" t="s">
        <v>272</v>
      </c>
      <c r="B195" s="27" t="s">
        <v>280</v>
      </c>
      <c r="C195" s="21" t="n">
        <v>830</v>
      </c>
      <c r="D195" s="21" t="n">
        <v>1198</v>
      </c>
      <c r="E195" s="22" t="str">
        <f aca="false">IF(C195=D195,"событие",IF(D195&gt;=2026,IF(A195="Личности","жив","существует"),"в прошлом"))</f>
        <v>в прошлом</v>
      </c>
      <c r="F195" s="23" t="n">
        <f aca="false">IF(C195=D195,"",D195-C195)</f>
        <v>368</v>
      </c>
      <c r="G195" s="23"/>
      <c r="H195" s="19" t="s">
        <v>274</v>
      </c>
      <c r="I195" s="24"/>
      <c r="M195" s="25"/>
      <c r="W195" s="25"/>
      <c r="AG195" s="25"/>
      <c r="AQ195" s="25"/>
      <c r="BA195" s="25"/>
      <c r="BK195" s="25"/>
      <c r="BU195" s="25"/>
      <c r="CE195" s="25"/>
      <c r="CO195" s="25"/>
      <c r="CY195" s="25"/>
      <c r="DI195" s="25"/>
      <c r="DS195" s="25"/>
      <c r="EC195" s="25"/>
      <c r="EM195" s="25"/>
      <c r="EW195" s="25"/>
      <c r="EZ195" s="54" t="str">
        <f aca="false">IF(AND(D195&gt;=2026,C195&lt;D195),"▶","")</f>
        <v/>
      </c>
    </row>
    <row r="196" customFormat="false" ht="12.75" hidden="false" customHeight="true" outlineLevel="0" collapsed="false">
      <c r="A196" s="19" t="s">
        <v>272</v>
      </c>
      <c r="B196" s="27" t="s">
        <v>281</v>
      </c>
      <c r="C196" s="21" t="n">
        <v>860</v>
      </c>
      <c r="D196" s="21" t="n">
        <v>1220</v>
      </c>
      <c r="E196" s="22" t="str">
        <f aca="false">IF(C196=D196,"событие",IF(D196&gt;=2026,IF(A196="Личности","жив","существует"),"в прошлом"))</f>
        <v>в прошлом</v>
      </c>
      <c r="F196" s="23" t="n">
        <f aca="false">IF(C196=D196,"",D196-C196)</f>
        <v>360</v>
      </c>
      <c r="G196" s="23"/>
      <c r="H196" s="19" t="s">
        <v>274</v>
      </c>
      <c r="I196" s="24"/>
      <c r="M196" s="25"/>
      <c r="W196" s="25"/>
      <c r="AG196" s="25"/>
      <c r="AQ196" s="25"/>
      <c r="BA196" s="25"/>
      <c r="BK196" s="25"/>
      <c r="BU196" s="25"/>
      <c r="CE196" s="25"/>
      <c r="CO196" s="25"/>
      <c r="CY196" s="25"/>
      <c r="DI196" s="25"/>
      <c r="DS196" s="25"/>
      <c r="EC196" s="25"/>
      <c r="EM196" s="25"/>
      <c r="EW196" s="25"/>
      <c r="EZ196" s="54" t="str">
        <f aca="false">IF(AND(D196&gt;=2026,C196&lt;D196),"▶","")</f>
        <v/>
      </c>
    </row>
    <row r="197" customFormat="false" ht="12.75" hidden="false" customHeight="true" outlineLevel="0" collapsed="false">
      <c r="A197" s="19" t="s">
        <v>272</v>
      </c>
      <c r="B197" s="27" t="s">
        <v>282</v>
      </c>
      <c r="C197" s="21" t="n">
        <v>1180</v>
      </c>
      <c r="D197" s="21" t="n">
        <v>1700</v>
      </c>
      <c r="E197" s="22" t="str">
        <f aca="false">IF(C197=D197,"событие",IF(D197&gt;=2026,IF(A197="Личности","жив","существует"),"в прошлом"))</f>
        <v>в прошлом</v>
      </c>
      <c r="F197" s="23" t="n">
        <f aca="false">IF(C197=D197,"",D197-C197)</f>
        <v>520</v>
      </c>
      <c r="G197" s="23" t="s">
        <v>283</v>
      </c>
      <c r="H197" s="19" t="s">
        <v>274</v>
      </c>
      <c r="I197" s="24"/>
      <c r="M197" s="25"/>
      <c r="W197" s="25"/>
      <c r="AG197" s="25"/>
      <c r="AQ197" s="25"/>
      <c r="BA197" s="25"/>
      <c r="BK197" s="25"/>
      <c r="BU197" s="25"/>
      <c r="CE197" s="25"/>
      <c r="CO197" s="25"/>
      <c r="CY197" s="25"/>
      <c r="DI197" s="25"/>
      <c r="DS197" s="25"/>
      <c r="EC197" s="25"/>
      <c r="EM197" s="25"/>
      <c r="EW197" s="25"/>
      <c r="EZ197" s="54" t="str">
        <f aca="false">IF(AND(D197&gt;=2026,C197&lt;D197),"▶","")</f>
        <v/>
      </c>
    </row>
    <row r="198" customFormat="false" ht="12.75" hidden="false" customHeight="true" outlineLevel="0" collapsed="false">
      <c r="A198" s="19" t="s">
        <v>272</v>
      </c>
      <c r="B198" s="27" t="s">
        <v>284</v>
      </c>
      <c r="C198" s="21" t="n">
        <v>1600</v>
      </c>
      <c r="D198" s="21" t="n">
        <v>1700</v>
      </c>
      <c r="E198" s="22" t="str">
        <f aca="false">IF(C198=D198,"событие",IF(D198&gt;=2026,IF(A198="Личности","жив","существует"),"в прошлом"))</f>
        <v>в прошлом</v>
      </c>
      <c r="F198" s="23" t="n">
        <f aca="false">IF(C198=D198,"",D198-C198)</f>
        <v>100</v>
      </c>
      <c r="G198" s="23" t="s">
        <v>285</v>
      </c>
      <c r="H198" s="19" t="s">
        <v>274</v>
      </c>
      <c r="I198" s="24"/>
      <c r="M198" s="25"/>
      <c r="W198" s="25"/>
      <c r="AG198" s="25"/>
      <c r="AQ198" s="25"/>
      <c r="BA198" s="25"/>
      <c r="BK198" s="25"/>
      <c r="BU198" s="25"/>
      <c r="CE198" s="25"/>
      <c r="CO198" s="25"/>
      <c r="CY198" s="25"/>
      <c r="DI198" s="25"/>
      <c r="DS198" s="25"/>
      <c r="EC198" s="25"/>
      <c r="EM198" s="25"/>
      <c r="EW198" s="25"/>
      <c r="EZ198" s="54" t="str">
        <f aca="false">IF(AND(D198&gt;=2026,C198&lt;D198),"▶","")</f>
        <v/>
      </c>
    </row>
    <row r="199" customFormat="false" ht="12.75" hidden="false" customHeight="true" outlineLevel="0" collapsed="false">
      <c r="A199" s="19" t="s">
        <v>272</v>
      </c>
      <c r="B199" s="27" t="s">
        <v>286</v>
      </c>
      <c r="C199" s="21" t="n">
        <v>1870</v>
      </c>
      <c r="D199" s="21" t="n">
        <v>2026</v>
      </c>
      <c r="E199" s="22" t="str">
        <f aca="false">IF(C199=D199,"событие",IF(D199&gt;=2026,IF(A199="Личности","жив","существует"),"в прошлом"))</f>
        <v>существует</v>
      </c>
      <c r="F199" s="23" t="n">
        <f aca="false">IF(C199=D199,"",D199-C199)</f>
        <v>156</v>
      </c>
      <c r="G199" s="23"/>
      <c r="H199" s="19" t="s">
        <v>274</v>
      </c>
      <c r="I199" s="24"/>
      <c r="M199" s="25"/>
      <c r="W199" s="25"/>
      <c r="AG199" s="25"/>
      <c r="AQ199" s="25"/>
      <c r="BA199" s="25"/>
      <c r="BK199" s="25"/>
      <c r="BU199" s="25"/>
      <c r="CE199" s="25"/>
      <c r="CO199" s="25"/>
      <c r="CY199" s="25"/>
      <c r="DI199" s="25"/>
      <c r="DS199" s="25"/>
      <c r="EC199" s="25"/>
      <c r="EM199" s="25"/>
      <c r="EW199" s="25"/>
      <c r="EZ199" s="54" t="str">
        <f aca="false">IF(AND(D199&gt;=2026,C199&lt;D199),"▶","")</f>
        <v>▶</v>
      </c>
    </row>
    <row r="200" customFormat="false" ht="21.75" hidden="false" customHeight="true" outlineLevel="0" collapsed="false">
      <c r="A200" s="55" t="s">
        <v>287</v>
      </c>
      <c r="B200" s="56" t="s">
        <v>288</v>
      </c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8"/>
      <c r="N200" s="57"/>
      <c r="O200" s="57"/>
      <c r="P200" s="57"/>
      <c r="Q200" s="57"/>
      <c r="R200" s="57"/>
      <c r="S200" s="57"/>
      <c r="T200" s="57"/>
      <c r="U200" s="57"/>
      <c r="V200" s="57"/>
      <c r="W200" s="58"/>
      <c r="X200" s="57"/>
      <c r="Y200" s="57"/>
      <c r="Z200" s="57"/>
      <c r="AA200" s="57"/>
      <c r="AB200" s="57"/>
      <c r="AC200" s="57"/>
      <c r="AD200" s="57"/>
      <c r="AE200" s="57"/>
      <c r="AF200" s="57"/>
      <c r="AG200" s="58"/>
      <c r="AH200" s="57"/>
      <c r="AI200" s="57"/>
      <c r="AJ200" s="57"/>
      <c r="AK200" s="57"/>
      <c r="AL200" s="57"/>
      <c r="AM200" s="57"/>
      <c r="AN200" s="57"/>
      <c r="AO200" s="57"/>
      <c r="AP200" s="57"/>
      <c r="AQ200" s="58"/>
      <c r="AR200" s="57"/>
      <c r="AS200" s="57"/>
      <c r="AT200" s="57"/>
      <c r="AU200" s="57"/>
      <c r="AV200" s="57"/>
      <c r="AW200" s="57"/>
      <c r="AX200" s="57"/>
      <c r="AY200" s="57"/>
      <c r="AZ200" s="57"/>
      <c r="BA200" s="58"/>
      <c r="BB200" s="57"/>
      <c r="BC200" s="57"/>
      <c r="BD200" s="57"/>
      <c r="BE200" s="57"/>
      <c r="BF200" s="57"/>
      <c r="BG200" s="57"/>
      <c r="BH200" s="57"/>
      <c r="BI200" s="57"/>
      <c r="BJ200" s="57"/>
      <c r="BK200" s="58"/>
      <c r="BL200" s="57"/>
      <c r="BM200" s="57"/>
      <c r="BN200" s="57"/>
      <c r="BO200" s="57"/>
      <c r="BP200" s="57"/>
      <c r="BQ200" s="57"/>
      <c r="BR200" s="57"/>
      <c r="BS200" s="57"/>
      <c r="BT200" s="57"/>
      <c r="BU200" s="58"/>
      <c r="BV200" s="57"/>
      <c r="BW200" s="57"/>
      <c r="BX200" s="57"/>
      <c r="BY200" s="57"/>
      <c r="BZ200" s="57"/>
      <c r="CA200" s="57"/>
      <c r="CB200" s="57"/>
      <c r="CC200" s="57"/>
      <c r="CD200" s="57"/>
      <c r="CE200" s="58"/>
      <c r="CF200" s="57"/>
      <c r="CG200" s="57"/>
      <c r="CH200" s="57"/>
      <c r="CI200" s="57"/>
      <c r="CJ200" s="57"/>
      <c r="CK200" s="57"/>
      <c r="CL200" s="57"/>
      <c r="CM200" s="57"/>
      <c r="CN200" s="57"/>
      <c r="CO200" s="58"/>
      <c r="CP200" s="57"/>
      <c r="CQ200" s="57"/>
      <c r="CR200" s="57"/>
      <c r="CS200" s="57"/>
      <c r="CT200" s="57"/>
      <c r="CU200" s="57"/>
      <c r="CV200" s="57"/>
      <c r="CW200" s="57"/>
      <c r="CX200" s="57"/>
      <c r="CY200" s="58"/>
      <c r="CZ200" s="57"/>
      <c r="DA200" s="57"/>
      <c r="DB200" s="57"/>
      <c r="DC200" s="57"/>
      <c r="DD200" s="57"/>
      <c r="DE200" s="57"/>
      <c r="DF200" s="57"/>
      <c r="DG200" s="57"/>
      <c r="DH200" s="57"/>
      <c r="DI200" s="58"/>
      <c r="DJ200" s="57"/>
      <c r="DK200" s="57"/>
      <c r="DL200" s="57"/>
      <c r="DM200" s="57"/>
      <c r="DN200" s="57"/>
      <c r="DO200" s="57"/>
      <c r="DP200" s="57"/>
      <c r="DQ200" s="57"/>
      <c r="DR200" s="57"/>
      <c r="DS200" s="58"/>
      <c r="DT200" s="57"/>
      <c r="DU200" s="57"/>
      <c r="DV200" s="57"/>
      <c r="DW200" s="57"/>
      <c r="DX200" s="57"/>
      <c r="DY200" s="57"/>
      <c r="DZ200" s="57"/>
      <c r="EA200" s="57"/>
      <c r="EB200" s="57"/>
      <c r="EC200" s="58"/>
      <c r="ED200" s="57"/>
      <c r="EE200" s="57"/>
      <c r="EF200" s="57"/>
      <c r="EG200" s="57"/>
      <c r="EH200" s="57"/>
      <c r="EI200" s="57"/>
      <c r="EJ200" s="57"/>
      <c r="EK200" s="57"/>
      <c r="EL200" s="57"/>
      <c r="EM200" s="58"/>
      <c r="EN200" s="57"/>
      <c r="EO200" s="57"/>
      <c r="EP200" s="57"/>
      <c r="EQ200" s="57"/>
      <c r="ER200" s="57"/>
      <c r="ES200" s="57"/>
      <c r="ET200" s="57"/>
      <c r="EU200" s="57"/>
      <c r="EV200" s="57"/>
      <c r="EW200" s="58"/>
      <c r="EX200" s="57"/>
      <c r="EY200" s="57"/>
      <c r="EZ200" s="57"/>
    </row>
    <row r="201" customFormat="false" ht="12.75" hidden="false" customHeight="true" outlineLevel="0" collapsed="false">
      <c r="A201" s="19" t="s">
        <v>289</v>
      </c>
      <c r="B201" s="27" t="s">
        <v>290</v>
      </c>
      <c r="C201" s="21" t="n">
        <v>700</v>
      </c>
      <c r="D201" s="21" t="n">
        <v>850</v>
      </c>
      <c r="E201" s="22" t="str">
        <f aca="false">IF(C201=D201,"событие",IF(D201&gt;=2026,IF(A201="Личности","жив","существует"),"в прошлом"))</f>
        <v>в прошлом</v>
      </c>
      <c r="F201" s="23" t="n">
        <f aca="false">IF(C201=D201,"",D201-C201)</f>
        <v>150</v>
      </c>
      <c r="G201" s="23"/>
      <c r="H201" s="19" t="s">
        <v>291</v>
      </c>
      <c r="I201" s="24"/>
      <c r="M201" s="25"/>
      <c r="W201" s="25"/>
      <c r="AG201" s="25"/>
      <c r="AQ201" s="25"/>
      <c r="BA201" s="25"/>
      <c r="BK201" s="25"/>
      <c r="BU201" s="25"/>
      <c r="CE201" s="25"/>
      <c r="CO201" s="25"/>
      <c r="CY201" s="25"/>
      <c r="DI201" s="25"/>
      <c r="DS201" s="25"/>
      <c r="EC201" s="25"/>
      <c r="EM201" s="25"/>
      <c r="EW201" s="25"/>
      <c r="EZ201" s="59" t="str">
        <f aca="false">IF(AND(D201&gt;=2026,C201&lt;D201),"▶","")</f>
        <v/>
      </c>
    </row>
    <row r="202" customFormat="false" ht="12.75" hidden="false" customHeight="true" outlineLevel="0" collapsed="false">
      <c r="A202" s="19" t="s">
        <v>289</v>
      </c>
      <c r="B202" s="27" t="s">
        <v>292</v>
      </c>
      <c r="C202" s="21" t="n">
        <v>850</v>
      </c>
      <c r="D202" s="21" t="n">
        <v>1150</v>
      </c>
      <c r="E202" s="22" t="str">
        <f aca="false">IF(C202=D202,"событие",IF(D202&gt;=2026,IF(A202="Личности","жив","существует"),"в прошлом"))</f>
        <v>в прошлом</v>
      </c>
      <c r="F202" s="23" t="n">
        <f aca="false">IF(C202=D202,"",D202-C202)</f>
        <v>300</v>
      </c>
      <c r="G202" s="23" t="s">
        <v>293</v>
      </c>
      <c r="H202" s="19" t="s">
        <v>291</v>
      </c>
      <c r="I202" s="24"/>
      <c r="M202" s="25"/>
      <c r="W202" s="25"/>
      <c r="AG202" s="25"/>
      <c r="AQ202" s="25"/>
      <c r="BA202" s="25"/>
      <c r="BK202" s="25"/>
      <c r="BU202" s="25"/>
      <c r="CE202" s="25"/>
      <c r="CO202" s="25"/>
      <c r="CY202" s="25"/>
      <c r="DI202" s="25"/>
      <c r="DS202" s="25"/>
      <c r="EC202" s="25"/>
      <c r="EM202" s="25"/>
      <c r="EW202" s="25"/>
      <c r="EZ202" s="59" t="str">
        <f aca="false">IF(AND(D202&gt;=2026,C202&lt;D202),"▶","")</f>
        <v/>
      </c>
    </row>
    <row r="203" customFormat="false" ht="12.75" hidden="false" customHeight="true" outlineLevel="0" collapsed="false">
      <c r="A203" s="19" t="s">
        <v>289</v>
      </c>
      <c r="B203" s="27" t="s">
        <v>294</v>
      </c>
      <c r="C203" s="21" t="n">
        <v>1166</v>
      </c>
      <c r="D203" s="21" t="n">
        <v>2026</v>
      </c>
      <c r="E203" s="22" t="str">
        <f aca="false">IF(C203=D203,"событие",IF(D203&gt;=2026,IF(A203="Личности","жив","существует"),"в прошлом"))</f>
        <v>существует</v>
      </c>
      <c r="F203" s="23" t="n">
        <f aca="false">IF(C203=D203,"",D203-C203)</f>
        <v>860</v>
      </c>
      <c r="G203" s="23" t="s">
        <v>295</v>
      </c>
      <c r="H203" s="19" t="s">
        <v>291</v>
      </c>
      <c r="I203" s="24"/>
      <c r="M203" s="25"/>
      <c r="W203" s="25"/>
      <c r="AG203" s="25"/>
      <c r="AQ203" s="25"/>
      <c r="BA203" s="25"/>
      <c r="BK203" s="25"/>
      <c r="BU203" s="25"/>
      <c r="CE203" s="25"/>
      <c r="CO203" s="25"/>
      <c r="CY203" s="25"/>
      <c r="DI203" s="25"/>
      <c r="DS203" s="25"/>
      <c r="EC203" s="25"/>
      <c r="EM203" s="25"/>
      <c r="EW203" s="25"/>
      <c r="EZ203" s="59" t="str">
        <f aca="false">IF(AND(D203&gt;=2026,C203&lt;D203),"▶","")</f>
        <v>▶</v>
      </c>
    </row>
    <row r="204" customFormat="false" ht="12.75" hidden="false" customHeight="true" outlineLevel="0" collapsed="false">
      <c r="A204" s="19" t="s">
        <v>289</v>
      </c>
      <c r="B204" s="27" t="s">
        <v>296</v>
      </c>
      <c r="C204" s="21" t="n">
        <v>1166</v>
      </c>
      <c r="D204" s="21" t="n">
        <v>2026</v>
      </c>
      <c r="E204" s="22" t="str">
        <f aca="false">IF(C204=D204,"событие",IF(D204&gt;=2026,IF(A204="Личности","жив","существует"),"в прошлом"))</f>
        <v>существует</v>
      </c>
      <c r="F204" s="23" t="n">
        <f aca="false">IF(C204=D204,"",D204-C204)</f>
        <v>860</v>
      </c>
      <c r="G204" s="23" t="s">
        <v>295</v>
      </c>
      <c r="H204" s="19" t="s">
        <v>291</v>
      </c>
      <c r="I204" s="24"/>
      <c r="M204" s="25"/>
      <c r="W204" s="25"/>
      <c r="AG204" s="25"/>
      <c r="AQ204" s="25"/>
      <c r="BA204" s="25"/>
      <c r="BK204" s="25"/>
      <c r="BU204" s="25"/>
      <c r="CE204" s="25"/>
      <c r="CO204" s="25"/>
      <c r="CY204" s="25"/>
      <c r="DI204" s="25"/>
      <c r="DS204" s="25"/>
      <c r="EC204" s="25"/>
      <c r="EM204" s="25"/>
      <c r="EW204" s="25"/>
      <c r="EZ204" s="59" t="str">
        <f aca="false">IF(AND(D204&gt;=2026,C204&lt;D204),"▶","")</f>
        <v>▶</v>
      </c>
    </row>
    <row r="205" customFormat="false" ht="12.75" hidden="false" customHeight="true" outlineLevel="0" collapsed="false">
      <c r="A205" s="19" t="s">
        <v>289</v>
      </c>
      <c r="B205" s="27" t="s">
        <v>297</v>
      </c>
      <c r="C205" s="21" t="n">
        <v>1168</v>
      </c>
      <c r="D205" s="21" t="n">
        <v>2026</v>
      </c>
      <c r="E205" s="22" t="str">
        <f aca="false">IF(C205=D205,"событие",IF(D205&gt;=2026,IF(A205="Личности","жив","существует"),"в прошлом"))</f>
        <v>существует</v>
      </c>
      <c r="F205" s="23" t="n">
        <f aca="false">IF(C205=D205,"",D205-C205)</f>
        <v>858</v>
      </c>
      <c r="G205" s="23" t="s">
        <v>295</v>
      </c>
      <c r="H205" s="19" t="s">
        <v>291</v>
      </c>
      <c r="I205" s="24"/>
      <c r="M205" s="25"/>
      <c r="W205" s="25"/>
      <c r="AG205" s="25"/>
      <c r="AQ205" s="25"/>
      <c r="BA205" s="25"/>
      <c r="BK205" s="25"/>
      <c r="BU205" s="25"/>
      <c r="CE205" s="25"/>
      <c r="CO205" s="25"/>
      <c r="CY205" s="25"/>
      <c r="DI205" s="25"/>
      <c r="DS205" s="25"/>
      <c r="EC205" s="25"/>
      <c r="EM205" s="25"/>
      <c r="EW205" s="25"/>
      <c r="EZ205" s="59" t="str">
        <f aca="false">IF(AND(D205&gt;=2026,C205&lt;D205),"▶","")</f>
        <v>▶</v>
      </c>
    </row>
    <row r="206" customFormat="false" ht="12.75" hidden="false" customHeight="true" outlineLevel="0" collapsed="false">
      <c r="A206" s="19" t="s">
        <v>289</v>
      </c>
      <c r="B206" s="27" t="s">
        <v>298</v>
      </c>
      <c r="C206" s="21" t="n">
        <v>1182</v>
      </c>
      <c r="D206" s="21" t="n">
        <v>2026</v>
      </c>
      <c r="E206" s="22" t="str">
        <f aca="false">IF(C206=D206,"событие",IF(D206&gt;=2026,IF(A206="Личности","жив","существует"),"в прошлом"))</f>
        <v>существует</v>
      </c>
      <c r="F206" s="23" t="n">
        <f aca="false">IF(C206=D206,"",D206-C206)</f>
        <v>844</v>
      </c>
      <c r="G206" s="23" t="s">
        <v>295</v>
      </c>
      <c r="H206" s="19" t="s">
        <v>291</v>
      </c>
      <c r="I206" s="24"/>
      <c r="M206" s="25"/>
      <c r="W206" s="25"/>
      <c r="AG206" s="25"/>
      <c r="AQ206" s="25"/>
      <c r="BA206" s="25"/>
      <c r="BK206" s="25"/>
      <c r="BU206" s="25"/>
      <c r="CE206" s="25"/>
      <c r="CO206" s="25"/>
      <c r="CY206" s="25"/>
      <c r="DI206" s="25"/>
      <c r="DS206" s="25"/>
      <c r="EC206" s="25"/>
      <c r="EM206" s="25"/>
      <c r="EW206" s="25"/>
      <c r="EZ206" s="59" t="str">
        <f aca="false">IF(AND(D206&gt;=2026,C206&lt;D206),"▶","")</f>
        <v>▶</v>
      </c>
    </row>
    <row r="207" customFormat="false" ht="12.75" hidden="false" customHeight="true" outlineLevel="0" collapsed="false">
      <c r="A207" s="19" t="s">
        <v>289</v>
      </c>
      <c r="B207" s="27" t="s">
        <v>299</v>
      </c>
      <c r="C207" s="21" t="n">
        <v>1200</v>
      </c>
      <c r="D207" s="21" t="n">
        <v>2026</v>
      </c>
      <c r="E207" s="22" t="str">
        <f aca="false">IF(C207=D207,"событие",IF(D207&gt;=2026,IF(A207="Личности","жив","существует"),"в прошлом"))</f>
        <v>существует</v>
      </c>
      <c r="F207" s="23" t="n">
        <f aca="false">IF(C207=D207,"",D207-C207)</f>
        <v>826</v>
      </c>
      <c r="G207" s="23" t="s">
        <v>295</v>
      </c>
      <c r="H207" s="19" t="s">
        <v>291</v>
      </c>
      <c r="I207" s="24"/>
      <c r="M207" s="25"/>
      <c r="W207" s="25"/>
      <c r="AG207" s="25"/>
      <c r="AQ207" s="25"/>
      <c r="BA207" s="25"/>
      <c r="BK207" s="25"/>
      <c r="BU207" s="25"/>
      <c r="CE207" s="25"/>
      <c r="CO207" s="25"/>
      <c r="CY207" s="25"/>
      <c r="DI207" s="25"/>
      <c r="DS207" s="25"/>
      <c r="EC207" s="25"/>
      <c r="EM207" s="25"/>
      <c r="EW207" s="25"/>
      <c r="EZ207" s="59" t="str">
        <f aca="false">IF(AND(D207&gt;=2026,C207&lt;D207),"▶","")</f>
        <v>▶</v>
      </c>
    </row>
    <row r="208" customFormat="false" ht="12.75" hidden="false" customHeight="true" outlineLevel="0" collapsed="false">
      <c r="A208" s="19" t="s">
        <v>289</v>
      </c>
      <c r="B208" s="27" t="s">
        <v>300</v>
      </c>
      <c r="C208" s="21" t="n">
        <v>1236</v>
      </c>
      <c r="D208" s="21" t="n">
        <v>2026</v>
      </c>
      <c r="E208" s="22" t="str">
        <f aca="false">IF(C208=D208,"событие",IF(D208&gt;=2026,IF(A208="Личности","жив","существует"),"в прошлом"))</f>
        <v>существует</v>
      </c>
      <c r="F208" s="23" t="n">
        <f aca="false">IF(C208=D208,"",D208-C208)</f>
        <v>790</v>
      </c>
      <c r="G208" s="23" t="s">
        <v>295</v>
      </c>
      <c r="H208" s="19" t="s">
        <v>291</v>
      </c>
      <c r="I208" s="24"/>
      <c r="M208" s="25"/>
      <c r="W208" s="25"/>
      <c r="AG208" s="25"/>
      <c r="AQ208" s="25"/>
      <c r="BA208" s="25"/>
      <c r="BK208" s="25"/>
      <c r="BU208" s="25"/>
      <c r="CE208" s="25"/>
      <c r="CO208" s="25"/>
      <c r="CY208" s="25"/>
      <c r="DI208" s="25"/>
      <c r="DS208" s="25"/>
      <c r="EC208" s="25"/>
      <c r="EM208" s="25"/>
      <c r="EW208" s="25"/>
      <c r="EZ208" s="59" t="str">
        <f aca="false">IF(AND(D208&gt;=2026,C208&lt;D208),"▶","")</f>
        <v>▶</v>
      </c>
    </row>
    <row r="209" customFormat="false" ht="12.75" hidden="false" customHeight="true" outlineLevel="0" collapsed="false">
      <c r="A209" s="19" t="s">
        <v>289</v>
      </c>
      <c r="B209" s="27" t="s">
        <v>301</v>
      </c>
      <c r="C209" s="21" t="n">
        <v>1258</v>
      </c>
      <c r="D209" s="21" t="n">
        <v>2026</v>
      </c>
      <c r="E209" s="22" t="str">
        <f aca="false">IF(C209=D209,"событие",IF(D209&gt;=2026,IF(A209="Личности","жив","существует"),"в прошлом"))</f>
        <v>существует</v>
      </c>
      <c r="F209" s="23" t="n">
        <f aca="false">IF(C209=D209,"",D209-C209)</f>
        <v>768</v>
      </c>
      <c r="G209" s="23" t="s">
        <v>295</v>
      </c>
      <c r="H209" s="19" t="s">
        <v>291</v>
      </c>
      <c r="I209" s="24"/>
      <c r="M209" s="25"/>
      <c r="W209" s="25"/>
      <c r="AG209" s="25"/>
      <c r="AQ209" s="25"/>
      <c r="BA209" s="25"/>
      <c r="BK209" s="25"/>
      <c r="BU209" s="25"/>
      <c r="CE209" s="25"/>
      <c r="CO209" s="25"/>
      <c r="CY209" s="25"/>
      <c r="DI209" s="25"/>
      <c r="DS209" s="25"/>
      <c r="EC209" s="25"/>
      <c r="EM209" s="25"/>
      <c r="EW209" s="25"/>
      <c r="EZ209" s="59" t="str">
        <f aca="false">IF(AND(D209&gt;=2026,C209&lt;D209),"▶","")</f>
        <v>▶</v>
      </c>
    </row>
    <row r="210" customFormat="false" ht="12.75" hidden="false" customHeight="true" outlineLevel="0" collapsed="false">
      <c r="A210" s="19" t="s">
        <v>289</v>
      </c>
      <c r="B210" s="27" t="s">
        <v>302</v>
      </c>
      <c r="C210" s="21" t="n">
        <v>1270</v>
      </c>
      <c r="D210" s="21" t="n">
        <v>2026</v>
      </c>
      <c r="E210" s="22" t="str">
        <f aca="false">IF(C210=D210,"событие",IF(D210&gt;=2026,IF(A210="Личности","жив","существует"),"в прошлом"))</f>
        <v>существует</v>
      </c>
      <c r="F210" s="23" t="n">
        <f aca="false">IF(C210=D210,"",D210-C210)</f>
        <v>756</v>
      </c>
      <c r="G210" s="23" t="s">
        <v>303</v>
      </c>
      <c r="H210" s="19" t="s">
        <v>216</v>
      </c>
      <c r="I210" s="24"/>
      <c r="M210" s="25"/>
      <c r="W210" s="25"/>
      <c r="AG210" s="25"/>
      <c r="AQ210" s="25"/>
      <c r="BA210" s="25"/>
      <c r="BK210" s="25"/>
      <c r="BU210" s="25"/>
      <c r="CE210" s="25"/>
      <c r="CO210" s="25"/>
      <c r="CY210" s="25"/>
      <c r="DI210" s="25"/>
      <c r="DS210" s="25"/>
      <c r="EC210" s="25"/>
      <c r="EM210" s="25"/>
      <c r="EW210" s="25"/>
      <c r="EZ210" s="45" t="str">
        <f aca="false">IF(AND(D210&gt;=2026,C210&lt;D210),"▶","")</f>
        <v>▶</v>
      </c>
    </row>
    <row r="211" customFormat="false" ht="12.75" hidden="false" customHeight="true" outlineLevel="0" collapsed="false">
      <c r="A211" s="19" t="s">
        <v>289</v>
      </c>
      <c r="B211" s="27" t="s">
        <v>304</v>
      </c>
      <c r="C211" s="21" t="n">
        <v>1273</v>
      </c>
      <c r="D211" s="21" t="n">
        <v>2026</v>
      </c>
      <c r="E211" s="22" t="str">
        <f aca="false">IF(C211=D211,"событие",IF(D211&gt;=2026,IF(A211="Личности","жив","существует"),"в прошлом"))</f>
        <v>существует</v>
      </c>
      <c r="F211" s="23" t="n">
        <f aca="false">IF(C211=D211,"",D211-C211)</f>
        <v>753</v>
      </c>
      <c r="G211" s="23" t="s">
        <v>295</v>
      </c>
      <c r="H211" s="19" t="s">
        <v>291</v>
      </c>
      <c r="I211" s="24"/>
      <c r="M211" s="25"/>
      <c r="W211" s="25"/>
      <c r="AG211" s="25"/>
      <c r="AQ211" s="25"/>
      <c r="BA211" s="25"/>
      <c r="BK211" s="25"/>
      <c r="BU211" s="25"/>
      <c r="CE211" s="25"/>
      <c r="CO211" s="25"/>
      <c r="CY211" s="25"/>
      <c r="DI211" s="25"/>
      <c r="DS211" s="25"/>
      <c r="EC211" s="25"/>
      <c r="EM211" s="25"/>
      <c r="EW211" s="25"/>
      <c r="EZ211" s="59" t="str">
        <f aca="false">IF(AND(D211&gt;=2026,C211&lt;D211),"▶","")</f>
        <v>▶</v>
      </c>
    </row>
    <row r="212" customFormat="false" ht="12.75" hidden="false" customHeight="true" outlineLevel="0" collapsed="false">
      <c r="A212" s="19" t="s">
        <v>289</v>
      </c>
      <c r="B212" s="27" t="s">
        <v>305</v>
      </c>
      <c r="C212" s="21" t="n">
        <v>1276</v>
      </c>
      <c r="D212" s="21" t="n">
        <v>2026</v>
      </c>
      <c r="E212" s="22" t="str">
        <f aca="false">IF(C212=D212,"событие",IF(D212&gt;=2026,IF(A212="Личности","жив","существует"),"в прошлом"))</f>
        <v>существует</v>
      </c>
      <c r="F212" s="23" t="n">
        <f aca="false">IF(C212=D212,"",D212-C212)</f>
        <v>750</v>
      </c>
      <c r="G212" s="23" t="s">
        <v>295</v>
      </c>
      <c r="H212" s="19" t="s">
        <v>291</v>
      </c>
      <c r="I212" s="24"/>
      <c r="M212" s="25"/>
      <c r="W212" s="25"/>
      <c r="AG212" s="25"/>
      <c r="AQ212" s="25"/>
      <c r="BA212" s="25"/>
      <c r="BK212" s="25"/>
      <c r="BU212" s="25"/>
      <c r="CE212" s="25"/>
      <c r="CO212" s="25"/>
      <c r="CY212" s="25"/>
      <c r="DI212" s="25"/>
      <c r="DS212" s="25"/>
      <c r="EC212" s="25"/>
      <c r="EM212" s="25"/>
      <c r="EW212" s="25"/>
      <c r="EZ212" s="59" t="str">
        <f aca="false">IF(AND(D212&gt;=2026,C212&lt;D212),"▶","")</f>
        <v>▶</v>
      </c>
    </row>
    <row r="213" customFormat="false" ht="12.75" hidden="false" customHeight="true" outlineLevel="0" collapsed="false">
      <c r="A213" s="19" t="s">
        <v>289</v>
      </c>
      <c r="B213" s="27" t="s">
        <v>306</v>
      </c>
      <c r="C213" s="21" t="n">
        <v>1300</v>
      </c>
      <c r="D213" s="21" t="n">
        <v>1501</v>
      </c>
      <c r="E213" s="22" t="str">
        <f aca="false">IF(C213=D213,"событие",IF(D213&gt;=2026,IF(A213="Личности","жив","существует"),"в прошлом"))</f>
        <v>в прошлом</v>
      </c>
      <c r="F213" s="23" t="n">
        <f aca="false">IF(C213=D213,"",D213-C213)</f>
        <v>201</v>
      </c>
      <c r="G213" s="23" t="s">
        <v>295</v>
      </c>
      <c r="H213" s="19" t="s">
        <v>291</v>
      </c>
      <c r="I213" s="24"/>
      <c r="M213" s="25"/>
      <c r="W213" s="25"/>
      <c r="AG213" s="25"/>
      <c r="AQ213" s="25"/>
      <c r="BA213" s="25"/>
      <c r="BK213" s="25"/>
      <c r="BU213" s="25"/>
      <c r="CE213" s="25"/>
      <c r="CO213" s="25"/>
      <c r="CY213" s="25"/>
      <c r="DI213" s="25"/>
      <c r="DS213" s="25"/>
      <c r="EC213" s="25"/>
      <c r="EM213" s="25"/>
      <c r="EW213" s="25"/>
      <c r="EZ213" s="59" t="str">
        <f aca="false">IF(AND(D213&gt;=2026,C213&lt;D213),"▶","")</f>
        <v/>
      </c>
    </row>
    <row r="214" customFormat="false" ht="12.75" hidden="false" customHeight="true" outlineLevel="0" collapsed="false">
      <c r="A214" s="19" t="s">
        <v>289</v>
      </c>
      <c r="B214" s="27" t="s">
        <v>307</v>
      </c>
      <c r="C214" s="21" t="n">
        <v>1389</v>
      </c>
      <c r="D214" s="21" t="n">
        <v>2026</v>
      </c>
      <c r="E214" s="22" t="str">
        <f aca="false">IF(C214=D214,"событие",IF(D214&gt;=2026,IF(A214="Личности","жив","существует"),"в прошлом"))</f>
        <v>существует</v>
      </c>
      <c r="F214" s="23" t="n">
        <f aca="false">IF(C214=D214,"",D214-C214)</f>
        <v>637</v>
      </c>
      <c r="G214" s="23" t="s">
        <v>295</v>
      </c>
      <c r="H214" s="19" t="s">
        <v>291</v>
      </c>
      <c r="I214" s="24"/>
      <c r="M214" s="25"/>
      <c r="W214" s="25"/>
      <c r="AG214" s="25"/>
      <c r="AQ214" s="25"/>
      <c r="BA214" s="25"/>
      <c r="BK214" s="25"/>
      <c r="BU214" s="25"/>
      <c r="CE214" s="25"/>
      <c r="CO214" s="25"/>
      <c r="CY214" s="25"/>
      <c r="DI214" s="25"/>
      <c r="DS214" s="25"/>
      <c r="EC214" s="25"/>
      <c r="EM214" s="25"/>
      <c r="EW214" s="25"/>
      <c r="EZ214" s="59" t="str">
        <f aca="false">IF(AND(D214&gt;=2026,C214&lt;D214),"▶","")</f>
        <v>▶</v>
      </c>
    </row>
    <row r="215" customFormat="false" ht="12.75" hidden="false" customHeight="true" outlineLevel="0" collapsed="false">
      <c r="A215" s="19" t="s">
        <v>289</v>
      </c>
      <c r="B215" s="27" t="s">
        <v>308</v>
      </c>
      <c r="C215" s="21" t="n">
        <v>1397</v>
      </c>
      <c r="D215" s="21" t="n">
        <v>2026</v>
      </c>
      <c r="E215" s="22" t="str">
        <f aca="false">IF(C215=D215,"событие",IF(D215&gt;=2026,IF(A215="Личности","жив","существует"),"в прошлом"))</f>
        <v>существует</v>
      </c>
      <c r="F215" s="23" t="n">
        <f aca="false">IF(C215=D215,"",D215-C215)</f>
        <v>629</v>
      </c>
      <c r="G215" s="23" t="s">
        <v>295</v>
      </c>
      <c r="H215" s="19" t="s">
        <v>291</v>
      </c>
      <c r="I215" s="24"/>
      <c r="M215" s="25"/>
      <c r="W215" s="25"/>
      <c r="AG215" s="25"/>
      <c r="AQ215" s="25"/>
      <c r="BA215" s="25"/>
      <c r="BK215" s="25"/>
      <c r="BU215" s="25"/>
      <c r="CE215" s="25"/>
      <c r="CO215" s="25"/>
      <c r="CY215" s="25"/>
      <c r="DI215" s="25"/>
      <c r="DS215" s="25"/>
      <c r="EC215" s="25"/>
      <c r="EM215" s="25"/>
      <c r="EW215" s="25"/>
      <c r="EZ215" s="59" t="str">
        <f aca="false">IF(AND(D215&gt;=2026,C215&lt;D215),"▶","")</f>
        <v>▶</v>
      </c>
    </row>
    <row r="216" customFormat="false" ht="12.75" hidden="false" customHeight="true" outlineLevel="0" collapsed="false">
      <c r="A216" s="19" t="s">
        <v>289</v>
      </c>
      <c r="B216" s="27" t="s">
        <v>309</v>
      </c>
      <c r="C216" s="21" t="n">
        <v>1431</v>
      </c>
      <c r="D216" s="21" t="n">
        <v>2026</v>
      </c>
      <c r="E216" s="22" t="str">
        <f aca="false">IF(C216=D216,"событие",IF(D216&gt;=2026,IF(A216="Личности","жив","существует"),"в прошлом"))</f>
        <v>существует</v>
      </c>
      <c r="F216" s="23" t="n">
        <f aca="false">IF(C216=D216,"",D216-C216)</f>
        <v>595</v>
      </c>
      <c r="G216" s="23" t="s">
        <v>295</v>
      </c>
      <c r="H216" s="19" t="s">
        <v>291</v>
      </c>
      <c r="I216" s="24"/>
      <c r="M216" s="25"/>
      <c r="W216" s="25"/>
      <c r="AG216" s="25"/>
      <c r="AQ216" s="25"/>
      <c r="BA216" s="25"/>
      <c r="BK216" s="25"/>
      <c r="BU216" s="25"/>
      <c r="CE216" s="25"/>
      <c r="CO216" s="25"/>
      <c r="CY216" s="25"/>
      <c r="DI216" s="25"/>
      <c r="DS216" s="25"/>
      <c r="EC216" s="25"/>
      <c r="EM216" s="25"/>
      <c r="EW216" s="25"/>
      <c r="EZ216" s="59" t="str">
        <f aca="false">IF(AND(D216&gt;=2026,C216&lt;D216),"▶","")</f>
        <v>▶</v>
      </c>
    </row>
    <row r="217" customFormat="false" ht="12.75" hidden="false" customHeight="true" outlineLevel="0" collapsed="false">
      <c r="A217" s="19" t="s">
        <v>289</v>
      </c>
      <c r="B217" s="27" t="s">
        <v>310</v>
      </c>
      <c r="C217" s="21" t="n">
        <v>1600</v>
      </c>
      <c r="D217" s="21" t="n">
        <v>2026</v>
      </c>
      <c r="E217" s="22" t="str">
        <f aca="false">IF(C217=D217,"событие",IF(D217&gt;=2026,IF(A217="Личности","жив","существует"),"в прошлом"))</f>
        <v>существует</v>
      </c>
      <c r="F217" s="23" t="n">
        <f aca="false">IF(C217=D217,"",D217-C217)</f>
        <v>426</v>
      </c>
      <c r="G217" s="23" t="s">
        <v>311</v>
      </c>
      <c r="H217" s="19" t="s">
        <v>291</v>
      </c>
      <c r="I217" s="24"/>
      <c r="M217" s="25"/>
      <c r="W217" s="25"/>
      <c r="AG217" s="25"/>
      <c r="AQ217" s="25"/>
      <c r="BA217" s="25"/>
      <c r="BK217" s="25"/>
      <c r="BU217" s="25"/>
      <c r="CE217" s="25"/>
      <c r="CO217" s="25"/>
      <c r="CY217" s="25"/>
      <c r="DI217" s="25"/>
      <c r="DS217" s="25"/>
      <c r="EC217" s="25"/>
      <c r="EM217" s="25"/>
      <c r="EW217" s="25"/>
      <c r="EZ217" s="59" t="str">
        <f aca="false">IF(AND(D217&gt;=2026,C217&lt;D217),"▶","")</f>
        <v>▶</v>
      </c>
    </row>
    <row r="218" customFormat="false" ht="12.75" hidden="false" customHeight="true" outlineLevel="0" collapsed="false">
      <c r="A218" s="19" t="s">
        <v>289</v>
      </c>
      <c r="B218" s="27" t="s">
        <v>312</v>
      </c>
      <c r="C218" s="21" t="n">
        <v>1782</v>
      </c>
      <c r="D218" s="21" t="n">
        <v>2026</v>
      </c>
      <c r="E218" s="22" t="str">
        <f aca="false">IF(C218=D218,"событие",IF(D218&gt;=2026,IF(A218="Личности","жив","существует"),"в прошлом"))</f>
        <v>существует</v>
      </c>
      <c r="F218" s="23" t="n">
        <f aca="false">IF(C218=D218,"",D218-C218)</f>
        <v>244</v>
      </c>
      <c r="G218" s="23" t="s">
        <v>313</v>
      </c>
      <c r="H218" s="19" t="s">
        <v>291</v>
      </c>
      <c r="I218" s="24"/>
      <c r="M218" s="25"/>
      <c r="W218" s="25"/>
      <c r="AG218" s="25"/>
      <c r="AQ218" s="25"/>
      <c r="BA218" s="25"/>
      <c r="BK218" s="25"/>
      <c r="BU218" s="25"/>
      <c r="CE218" s="25"/>
      <c r="CO218" s="25"/>
      <c r="CY218" s="25"/>
      <c r="DI218" s="25"/>
      <c r="DS218" s="25"/>
      <c r="EC218" s="25"/>
      <c r="EM218" s="25"/>
      <c r="EW218" s="25"/>
      <c r="EZ218" s="59" t="str">
        <f aca="false">IF(AND(D218&gt;=2026,C218&lt;D218),"▶","")</f>
        <v>▶</v>
      </c>
    </row>
    <row r="219" customFormat="false" ht="12.75" hidden="false" customHeight="true" outlineLevel="0" collapsed="false">
      <c r="A219" s="19" t="s">
        <v>289</v>
      </c>
      <c r="B219" s="27" t="s">
        <v>314</v>
      </c>
      <c r="C219" s="21" t="n">
        <v>1811</v>
      </c>
      <c r="D219" s="21" t="n">
        <v>2026</v>
      </c>
      <c r="E219" s="22" t="str">
        <f aca="false">IF(C219=D219,"событие",IF(D219&gt;=2026,IF(A219="Личности","жив","существует"),"в прошлом"))</f>
        <v>существует</v>
      </c>
      <c r="F219" s="23" t="n">
        <f aca="false">IF(C219=D219,"",D219-C219)</f>
        <v>215</v>
      </c>
      <c r="G219" s="23" t="s">
        <v>315</v>
      </c>
      <c r="H219" s="19" t="s">
        <v>291</v>
      </c>
      <c r="I219" s="24"/>
      <c r="M219" s="25"/>
      <c r="W219" s="25"/>
      <c r="AG219" s="25"/>
      <c r="AQ219" s="25"/>
      <c r="BA219" s="25"/>
      <c r="BK219" s="25"/>
      <c r="BU219" s="25"/>
      <c r="CE219" s="25"/>
      <c r="CO219" s="25"/>
      <c r="CY219" s="25"/>
      <c r="DI219" s="25"/>
      <c r="DS219" s="25"/>
      <c r="EC219" s="25"/>
      <c r="EM219" s="25"/>
      <c r="EW219" s="25"/>
      <c r="EZ219" s="59" t="str">
        <f aca="false">IF(AND(D219&gt;=2026,C219&lt;D219),"▶","")</f>
        <v>▶</v>
      </c>
    </row>
    <row r="220" customFormat="false" ht="12.75" hidden="false" customHeight="true" outlineLevel="0" collapsed="false">
      <c r="A220" s="19" t="s">
        <v>289</v>
      </c>
      <c r="B220" s="27" t="s">
        <v>316</v>
      </c>
      <c r="C220" s="21" t="n">
        <v>1817</v>
      </c>
      <c r="D220" s="21" t="n">
        <v>2026</v>
      </c>
      <c r="E220" s="22" t="str">
        <f aca="false">IF(C220=D220,"событие",IF(D220&gt;=2026,IF(A220="Личности","жив","существует"),"в прошлом"))</f>
        <v>существует</v>
      </c>
      <c r="F220" s="23" t="n">
        <f aca="false">IF(C220=D220,"",D220-C220)</f>
        <v>209</v>
      </c>
      <c r="G220" s="23" t="s">
        <v>295</v>
      </c>
      <c r="H220" s="19" t="s">
        <v>291</v>
      </c>
      <c r="I220" s="24"/>
      <c r="M220" s="25"/>
      <c r="W220" s="25"/>
      <c r="AG220" s="25"/>
      <c r="AQ220" s="25"/>
      <c r="BA220" s="25"/>
      <c r="BK220" s="25"/>
      <c r="BU220" s="25"/>
      <c r="CE220" s="25"/>
      <c r="CO220" s="25"/>
      <c r="CY220" s="25"/>
      <c r="DI220" s="25"/>
      <c r="DS220" s="25"/>
      <c r="EC220" s="25"/>
      <c r="EM220" s="25"/>
      <c r="EW220" s="25"/>
      <c r="EZ220" s="59" t="str">
        <f aca="false">IF(AND(D220&gt;=2026,C220&lt;D220),"▶","")</f>
        <v>▶</v>
      </c>
    </row>
    <row r="221" customFormat="false" ht="12.75" hidden="false" customHeight="true" outlineLevel="0" collapsed="false">
      <c r="A221" s="19" t="s">
        <v>289</v>
      </c>
      <c r="B221" s="27" t="s">
        <v>317</v>
      </c>
      <c r="C221" s="21" t="n">
        <v>1837</v>
      </c>
      <c r="D221" s="21" t="n">
        <v>2026</v>
      </c>
      <c r="E221" s="22" t="str">
        <f aca="false">IF(C221=D221,"событие",IF(D221&gt;=2026,IF(A221="Личности","жив","существует"),"в прошлом"))</f>
        <v>существует</v>
      </c>
      <c r="F221" s="23" t="n">
        <f aca="false">IF(C221=D221,"",D221-C221)</f>
        <v>189</v>
      </c>
      <c r="G221" s="23" t="s">
        <v>295</v>
      </c>
      <c r="H221" s="19" t="s">
        <v>291</v>
      </c>
      <c r="I221" s="24"/>
      <c r="M221" s="25"/>
      <c r="W221" s="25"/>
      <c r="AG221" s="25"/>
      <c r="AQ221" s="25"/>
      <c r="BA221" s="25"/>
      <c r="BK221" s="25"/>
      <c r="BU221" s="25"/>
      <c r="CE221" s="25"/>
      <c r="CO221" s="25"/>
      <c r="CY221" s="25"/>
      <c r="DI221" s="25"/>
      <c r="DS221" s="25"/>
      <c r="EC221" s="25"/>
      <c r="EM221" s="25"/>
      <c r="EW221" s="25"/>
      <c r="EZ221" s="59" t="str">
        <f aca="false">IF(AND(D221&gt;=2026,C221&lt;D221),"▶","")</f>
        <v>▶</v>
      </c>
    </row>
    <row r="222" customFormat="false" ht="12.75" hidden="false" customHeight="true" outlineLevel="0" collapsed="false">
      <c r="A222" s="19" t="s">
        <v>289</v>
      </c>
      <c r="B222" s="27" t="s">
        <v>318</v>
      </c>
      <c r="C222" s="21" t="n">
        <v>1883</v>
      </c>
      <c r="D222" s="21" t="n">
        <v>2026</v>
      </c>
      <c r="E222" s="22" t="str">
        <f aca="false">IF(C222=D222,"событие",IF(D222&gt;=2026,IF(A222="Личности","жив","существует"),"в прошлом"))</f>
        <v>существует</v>
      </c>
      <c r="F222" s="23" t="n">
        <f aca="false">IF(C222=D222,"",D222-C222)</f>
        <v>143</v>
      </c>
      <c r="G222" s="23" t="s">
        <v>319</v>
      </c>
      <c r="H222" s="19" t="s">
        <v>291</v>
      </c>
      <c r="I222" s="24"/>
      <c r="M222" s="25"/>
      <c r="W222" s="25"/>
      <c r="AG222" s="25"/>
      <c r="AQ222" s="25"/>
      <c r="BA222" s="25"/>
      <c r="BK222" s="25"/>
      <c r="BU222" s="25"/>
      <c r="CE222" s="25"/>
      <c r="CO222" s="25"/>
      <c r="CY222" s="25"/>
      <c r="DI222" s="25"/>
      <c r="DS222" s="25"/>
      <c r="EC222" s="25"/>
      <c r="EM222" s="25"/>
      <c r="EW222" s="25"/>
      <c r="EZ222" s="59" t="str">
        <f aca="false">IF(AND(D222&gt;=2026,C222&lt;D222),"▶","")</f>
        <v>▶</v>
      </c>
    </row>
    <row r="223" customFormat="false" ht="21.75" hidden="false" customHeight="true" outlineLevel="0" collapsed="false">
      <c r="A223" s="60" t="s">
        <v>320</v>
      </c>
      <c r="B223" s="61" t="s">
        <v>321</v>
      </c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3"/>
      <c r="N223" s="62"/>
      <c r="O223" s="62"/>
      <c r="P223" s="62"/>
      <c r="Q223" s="62"/>
      <c r="R223" s="62"/>
      <c r="S223" s="62"/>
      <c r="T223" s="62"/>
      <c r="U223" s="62"/>
      <c r="V223" s="62"/>
      <c r="W223" s="63"/>
      <c r="X223" s="62"/>
      <c r="Y223" s="62"/>
      <c r="Z223" s="62"/>
      <c r="AA223" s="62"/>
      <c r="AB223" s="62"/>
      <c r="AC223" s="62"/>
      <c r="AD223" s="62"/>
      <c r="AE223" s="62"/>
      <c r="AF223" s="62"/>
      <c r="AG223" s="63"/>
      <c r="AH223" s="62"/>
      <c r="AI223" s="62"/>
      <c r="AJ223" s="62"/>
      <c r="AK223" s="62"/>
      <c r="AL223" s="62"/>
      <c r="AM223" s="62"/>
      <c r="AN223" s="62"/>
      <c r="AO223" s="62"/>
      <c r="AP223" s="62"/>
      <c r="AQ223" s="63"/>
      <c r="AR223" s="62"/>
      <c r="AS223" s="62"/>
      <c r="AT223" s="62"/>
      <c r="AU223" s="62"/>
      <c r="AV223" s="62"/>
      <c r="AW223" s="62"/>
      <c r="AX223" s="62"/>
      <c r="AY223" s="62"/>
      <c r="AZ223" s="62"/>
      <c r="BA223" s="63"/>
      <c r="BB223" s="62"/>
      <c r="BC223" s="62"/>
      <c r="BD223" s="62"/>
      <c r="BE223" s="62"/>
      <c r="BF223" s="62"/>
      <c r="BG223" s="62"/>
      <c r="BH223" s="62"/>
      <c r="BI223" s="62"/>
      <c r="BJ223" s="62"/>
      <c r="BK223" s="63"/>
      <c r="BL223" s="62"/>
      <c r="BM223" s="62"/>
      <c r="BN223" s="62"/>
      <c r="BO223" s="62"/>
      <c r="BP223" s="62"/>
      <c r="BQ223" s="62"/>
      <c r="BR223" s="62"/>
      <c r="BS223" s="62"/>
      <c r="BT223" s="62"/>
      <c r="BU223" s="63"/>
      <c r="BV223" s="62"/>
      <c r="BW223" s="62"/>
      <c r="BX223" s="62"/>
      <c r="BY223" s="62"/>
      <c r="BZ223" s="62"/>
      <c r="CA223" s="62"/>
      <c r="CB223" s="62"/>
      <c r="CC223" s="62"/>
      <c r="CD223" s="62"/>
      <c r="CE223" s="63"/>
      <c r="CF223" s="62"/>
      <c r="CG223" s="62"/>
      <c r="CH223" s="62"/>
      <c r="CI223" s="62"/>
      <c r="CJ223" s="62"/>
      <c r="CK223" s="62"/>
      <c r="CL223" s="62"/>
      <c r="CM223" s="62"/>
      <c r="CN223" s="62"/>
      <c r="CO223" s="63"/>
      <c r="CP223" s="62"/>
      <c r="CQ223" s="62"/>
      <c r="CR223" s="62"/>
      <c r="CS223" s="62"/>
      <c r="CT223" s="62"/>
      <c r="CU223" s="62"/>
      <c r="CV223" s="62"/>
      <c r="CW223" s="62"/>
      <c r="CX223" s="62"/>
      <c r="CY223" s="63"/>
      <c r="CZ223" s="62"/>
      <c r="DA223" s="62"/>
      <c r="DB223" s="62"/>
      <c r="DC223" s="62"/>
      <c r="DD223" s="62"/>
      <c r="DE223" s="62"/>
      <c r="DF223" s="62"/>
      <c r="DG223" s="62"/>
      <c r="DH223" s="62"/>
      <c r="DI223" s="63"/>
      <c r="DJ223" s="62"/>
      <c r="DK223" s="62"/>
      <c r="DL223" s="62"/>
      <c r="DM223" s="62"/>
      <c r="DN223" s="62"/>
      <c r="DO223" s="62"/>
      <c r="DP223" s="62"/>
      <c r="DQ223" s="62"/>
      <c r="DR223" s="62"/>
      <c r="DS223" s="63"/>
      <c r="DT223" s="62"/>
      <c r="DU223" s="62"/>
      <c r="DV223" s="62"/>
      <c r="DW223" s="62"/>
      <c r="DX223" s="62"/>
      <c r="DY223" s="62"/>
      <c r="DZ223" s="62"/>
      <c r="EA223" s="62"/>
      <c r="EB223" s="62"/>
      <c r="EC223" s="63"/>
      <c r="ED223" s="62"/>
      <c r="EE223" s="62"/>
      <c r="EF223" s="62"/>
      <c r="EG223" s="62"/>
      <c r="EH223" s="62"/>
      <c r="EI223" s="62"/>
      <c r="EJ223" s="62"/>
      <c r="EK223" s="62"/>
      <c r="EL223" s="62"/>
      <c r="EM223" s="63"/>
      <c r="EN223" s="62"/>
      <c r="EO223" s="62"/>
      <c r="EP223" s="62"/>
      <c r="EQ223" s="62"/>
      <c r="ER223" s="62"/>
      <c r="ES223" s="62"/>
      <c r="ET223" s="62"/>
      <c r="EU223" s="62"/>
      <c r="EV223" s="62"/>
      <c r="EW223" s="63"/>
      <c r="EX223" s="62"/>
      <c r="EY223" s="62"/>
      <c r="EZ223" s="62"/>
    </row>
    <row r="224" customFormat="false" ht="12.75" hidden="false" customHeight="true" outlineLevel="0" collapsed="false">
      <c r="A224" s="19" t="s">
        <v>322</v>
      </c>
      <c r="B224" s="27" t="s">
        <v>323</v>
      </c>
      <c r="C224" s="21" t="n">
        <v>1744</v>
      </c>
      <c r="D224" s="21" t="n">
        <v>2026</v>
      </c>
      <c r="E224" s="22" t="str">
        <f aca="false">IF(C224=D224,"событие",IF(D224&gt;=2026,IF(A224="Личности","жив","существует"),"в прошлом"))</f>
        <v>существует</v>
      </c>
      <c r="F224" s="23" t="n">
        <f aca="false">IF(C224=D224,"",D224-C224)</f>
        <v>282</v>
      </c>
      <c r="G224" s="23"/>
      <c r="H224" s="19" t="s">
        <v>182</v>
      </c>
      <c r="I224" s="24"/>
      <c r="M224" s="25"/>
      <c r="W224" s="25"/>
      <c r="AG224" s="25"/>
      <c r="AQ224" s="25"/>
      <c r="BA224" s="25"/>
      <c r="BK224" s="25"/>
      <c r="BU224" s="25"/>
      <c r="CE224" s="25"/>
      <c r="CO224" s="25"/>
      <c r="CY224" s="25"/>
      <c r="DI224" s="25"/>
      <c r="DS224" s="25"/>
      <c r="EC224" s="25"/>
      <c r="EM224" s="25"/>
      <c r="EW224" s="25"/>
      <c r="EZ224" s="36" t="str">
        <f aca="false">IF(AND(D224&gt;=2026,C224&lt;D224),"▶","")</f>
        <v>▶</v>
      </c>
    </row>
    <row r="225" customFormat="false" ht="12.75" hidden="false" customHeight="true" outlineLevel="0" collapsed="false">
      <c r="A225" s="19" t="s">
        <v>322</v>
      </c>
      <c r="B225" s="27" t="s">
        <v>324</v>
      </c>
      <c r="C225" s="21" t="n">
        <v>1818</v>
      </c>
      <c r="D225" s="21" t="n">
        <v>1831</v>
      </c>
      <c r="E225" s="22" t="str">
        <f aca="false">IF(C225=D225,"событие",IF(D225&gt;=2026,IF(A225="Личности","жив","существует"),"в прошлом"))</f>
        <v>в прошлом</v>
      </c>
      <c r="F225" s="23" t="n">
        <f aca="false">IF(C225=D225,"",D225-C225)</f>
        <v>13</v>
      </c>
      <c r="G225" s="23"/>
      <c r="H225" s="19" t="s">
        <v>182</v>
      </c>
      <c r="I225" s="24"/>
      <c r="M225" s="25"/>
      <c r="W225" s="25"/>
      <c r="AG225" s="25"/>
      <c r="AQ225" s="25"/>
      <c r="BA225" s="25"/>
      <c r="BK225" s="25"/>
      <c r="BU225" s="25"/>
      <c r="CE225" s="25"/>
      <c r="CO225" s="25"/>
      <c r="CY225" s="25"/>
      <c r="DI225" s="25"/>
      <c r="DS225" s="25"/>
      <c r="EC225" s="25"/>
      <c r="EM225" s="25"/>
      <c r="EW225" s="25"/>
      <c r="EZ225" s="36" t="str">
        <f aca="false">IF(AND(D225&gt;=2026,C225&lt;D225),"▶","")</f>
        <v/>
      </c>
    </row>
    <row r="226" customFormat="false" ht="12.75" hidden="false" customHeight="true" outlineLevel="0" collapsed="false">
      <c r="A226" s="19" t="s">
        <v>322</v>
      </c>
      <c r="B226" s="27" t="s">
        <v>325</v>
      </c>
      <c r="C226" s="21" t="n">
        <v>1818</v>
      </c>
      <c r="D226" s="21" t="n">
        <v>1900</v>
      </c>
      <c r="E226" s="22" t="str">
        <f aca="false">IF(C226=D226,"событие",IF(D226&gt;=2026,IF(A226="Личности","жив","существует"),"в прошлом"))</f>
        <v>в прошлом</v>
      </c>
      <c r="F226" s="23" t="n">
        <f aca="false">IF(C226=D226,"",D226-C226)</f>
        <v>82</v>
      </c>
      <c r="G226" s="23"/>
      <c r="H226" s="19" t="s">
        <v>182</v>
      </c>
      <c r="I226" s="24"/>
      <c r="M226" s="25"/>
      <c r="W226" s="25"/>
      <c r="AG226" s="25"/>
      <c r="AQ226" s="25"/>
      <c r="BA226" s="25"/>
      <c r="BK226" s="25"/>
      <c r="BU226" s="25"/>
      <c r="CE226" s="25"/>
      <c r="CO226" s="25"/>
      <c r="CY226" s="25"/>
      <c r="DI226" s="25"/>
      <c r="DS226" s="25"/>
      <c r="EC226" s="25"/>
      <c r="EM226" s="25"/>
      <c r="EW226" s="25"/>
      <c r="EZ226" s="36" t="str">
        <f aca="false">IF(AND(D226&gt;=2026,C226&lt;D226),"▶","")</f>
        <v/>
      </c>
    </row>
    <row r="227" customFormat="false" ht="12.75" hidden="false" customHeight="true" outlineLevel="0" collapsed="false">
      <c r="A227" s="19" t="s">
        <v>322</v>
      </c>
      <c r="B227" s="27" t="s">
        <v>326</v>
      </c>
      <c r="C227" s="21" t="n">
        <v>1860</v>
      </c>
      <c r="D227" s="21" t="n">
        <v>2026</v>
      </c>
      <c r="E227" s="22" t="str">
        <f aca="false">IF(C227=D227,"событие",IF(D227&gt;=2026,IF(A227="Личности","жив","существует"),"в прошлом"))</f>
        <v>существует</v>
      </c>
      <c r="F227" s="23" t="n">
        <f aca="false">IF(C227=D227,"",D227-C227)</f>
        <v>166</v>
      </c>
      <c r="G227" s="23" t="s">
        <v>327</v>
      </c>
      <c r="H227" s="19" t="s">
        <v>182</v>
      </c>
      <c r="I227" s="24"/>
      <c r="M227" s="25"/>
      <c r="W227" s="25"/>
      <c r="AG227" s="25"/>
      <c r="AQ227" s="25"/>
      <c r="BA227" s="25"/>
      <c r="BK227" s="25"/>
      <c r="BU227" s="25"/>
      <c r="CE227" s="25"/>
      <c r="CO227" s="25"/>
      <c r="CY227" s="25"/>
      <c r="DI227" s="25"/>
      <c r="DS227" s="25"/>
      <c r="EC227" s="25"/>
      <c r="EM227" s="25"/>
      <c r="EW227" s="25"/>
      <c r="EZ227" s="36" t="str">
        <f aca="false">IF(AND(D227&gt;=2026,C227&lt;D227),"▶","")</f>
        <v>▶</v>
      </c>
    </row>
    <row r="228" customFormat="false" ht="12.75" hidden="false" customHeight="true" outlineLevel="0" collapsed="false">
      <c r="A228" s="19" t="s">
        <v>322</v>
      </c>
      <c r="B228" s="27" t="s">
        <v>113</v>
      </c>
      <c r="C228" s="21" t="n">
        <v>1867</v>
      </c>
      <c r="D228" s="21" t="n">
        <v>2026</v>
      </c>
      <c r="E228" s="22" t="str">
        <f aca="false">IF(C228=D228,"событие",IF(D228&gt;=2026,IF(A228="Личности","жив","существует"),"в прошлом"))</f>
        <v>существует</v>
      </c>
      <c r="F228" s="23" t="n">
        <f aca="false">IF(C228=D228,"",D228-C228)</f>
        <v>159</v>
      </c>
      <c r="G228" s="23"/>
      <c r="H228" s="19" t="s">
        <v>182</v>
      </c>
      <c r="I228" s="24"/>
      <c r="M228" s="25"/>
      <c r="W228" s="25"/>
      <c r="AG228" s="25"/>
      <c r="AQ228" s="25"/>
      <c r="BA228" s="25"/>
      <c r="BK228" s="25"/>
      <c r="BU228" s="25"/>
      <c r="CE228" s="25"/>
      <c r="CO228" s="25"/>
      <c r="CY228" s="25"/>
      <c r="DI228" s="25"/>
      <c r="DS228" s="25"/>
      <c r="EC228" s="25"/>
      <c r="EM228" s="25"/>
      <c r="EW228" s="25"/>
      <c r="EZ228" s="36" t="str">
        <f aca="false">IF(AND(D228&gt;=2026,C228&lt;D228),"▶","")</f>
        <v>▶</v>
      </c>
    </row>
    <row r="229" customFormat="false" ht="12.75" hidden="false" customHeight="true" outlineLevel="0" collapsed="false">
      <c r="A229" s="19" t="s">
        <v>322</v>
      </c>
      <c r="B229" s="27" t="s">
        <v>328</v>
      </c>
      <c r="C229" s="21" t="n">
        <v>1870</v>
      </c>
      <c r="D229" s="21" t="n">
        <v>1935</v>
      </c>
      <c r="E229" s="22" t="str">
        <f aca="false">IF(C229=D229,"событие",IF(D229&gt;=2026,IF(A229="Личности","жив","существует"),"в прошлом"))</f>
        <v>в прошлом</v>
      </c>
      <c r="F229" s="23" t="n">
        <f aca="false">IF(C229=D229,"",D229-C229)</f>
        <v>65</v>
      </c>
      <c r="G229" s="23"/>
      <c r="H229" s="19" t="s">
        <v>182</v>
      </c>
      <c r="I229" s="24"/>
      <c r="M229" s="25"/>
      <c r="W229" s="25"/>
      <c r="AG229" s="25"/>
      <c r="AQ229" s="25"/>
      <c r="BA229" s="25"/>
      <c r="BK229" s="25"/>
      <c r="BU229" s="25"/>
      <c r="CE229" s="25"/>
      <c r="CO229" s="25"/>
      <c r="CY229" s="25"/>
      <c r="DI229" s="25"/>
      <c r="DS229" s="25"/>
      <c r="EC229" s="25"/>
      <c r="EM229" s="25"/>
      <c r="EW229" s="25"/>
      <c r="EZ229" s="36" t="str">
        <f aca="false">IF(AND(D229&gt;=2026,C229&lt;D229),"▶","")</f>
        <v/>
      </c>
    </row>
    <row r="230" customFormat="false" ht="12.75" hidden="false" customHeight="true" outlineLevel="0" collapsed="false">
      <c r="A230" s="19" t="s">
        <v>322</v>
      </c>
      <c r="B230" s="27" t="s">
        <v>329</v>
      </c>
      <c r="C230" s="21" t="n">
        <v>1875</v>
      </c>
      <c r="D230" s="21" t="n">
        <v>2026</v>
      </c>
      <c r="E230" s="22" t="str">
        <f aca="false">IF(C230=D230,"событие",IF(D230&gt;=2026,IF(A230="Личности","жив","существует"),"в прошлом"))</f>
        <v>существует</v>
      </c>
      <c r="F230" s="23" t="n">
        <f aca="false">IF(C230=D230,"",D230-C230)</f>
        <v>151</v>
      </c>
      <c r="G230" s="23"/>
      <c r="H230" s="19" t="s">
        <v>182</v>
      </c>
      <c r="I230" s="24"/>
      <c r="M230" s="25"/>
      <c r="W230" s="25"/>
      <c r="AG230" s="25"/>
      <c r="AQ230" s="25"/>
      <c r="BA230" s="25"/>
      <c r="BK230" s="25"/>
      <c r="BU230" s="25"/>
      <c r="CE230" s="25"/>
      <c r="CO230" s="25"/>
      <c r="CY230" s="25"/>
      <c r="DI230" s="25"/>
      <c r="DS230" s="25"/>
      <c r="EC230" s="25"/>
      <c r="EM230" s="25"/>
      <c r="EW230" s="25"/>
      <c r="EZ230" s="36" t="str">
        <f aca="false">IF(AND(D230&gt;=2026,C230&lt;D230),"▶","")</f>
        <v>▶</v>
      </c>
    </row>
    <row r="231" customFormat="false" ht="12.75" hidden="false" customHeight="true" outlineLevel="0" collapsed="false">
      <c r="A231" s="19" t="s">
        <v>322</v>
      </c>
      <c r="B231" s="27" t="s">
        <v>330</v>
      </c>
      <c r="C231" s="21" t="n">
        <v>1880</v>
      </c>
      <c r="D231" s="21" t="n">
        <v>2026</v>
      </c>
      <c r="E231" s="22" t="str">
        <f aca="false">IF(C231=D231,"событие",IF(D231&gt;=2026,IF(A231="Личности","жив","существует"),"в прошлом"))</f>
        <v>существует</v>
      </c>
      <c r="F231" s="23" t="n">
        <f aca="false">IF(C231=D231,"",D231-C231)</f>
        <v>146</v>
      </c>
      <c r="G231" s="23"/>
      <c r="H231" s="19" t="s">
        <v>182</v>
      </c>
      <c r="I231" s="24"/>
      <c r="M231" s="25"/>
      <c r="W231" s="25"/>
      <c r="AG231" s="25"/>
      <c r="AQ231" s="25"/>
      <c r="BA231" s="25"/>
      <c r="BK231" s="25"/>
      <c r="BU231" s="25"/>
      <c r="CE231" s="25"/>
      <c r="CO231" s="25"/>
      <c r="CY231" s="25"/>
      <c r="DI231" s="25"/>
      <c r="DS231" s="25"/>
      <c r="EC231" s="25"/>
      <c r="EM231" s="25"/>
      <c r="EW231" s="25"/>
      <c r="EZ231" s="36" t="str">
        <f aca="false">IF(AND(D231&gt;=2026,C231&lt;D231),"▶","")</f>
        <v>▶</v>
      </c>
    </row>
    <row r="232" customFormat="false" ht="12.75" hidden="false" customHeight="true" outlineLevel="0" collapsed="false">
      <c r="A232" s="19" t="s">
        <v>322</v>
      </c>
      <c r="B232" s="27" t="s">
        <v>331</v>
      </c>
      <c r="C232" s="21" t="n">
        <v>1881</v>
      </c>
      <c r="D232" s="21" t="n">
        <v>1898</v>
      </c>
      <c r="E232" s="22" t="str">
        <f aca="false">IF(C232=D232,"событие",IF(D232&gt;=2026,IF(A232="Личности","жив","существует"),"в прошлом"))</f>
        <v>в прошлом</v>
      </c>
      <c r="F232" s="23" t="n">
        <f aca="false">IF(C232=D232,"",D232-C232)</f>
        <v>17</v>
      </c>
      <c r="G232" s="23"/>
      <c r="H232" s="19" t="s">
        <v>182</v>
      </c>
      <c r="I232" s="24"/>
      <c r="M232" s="25"/>
      <c r="W232" s="25"/>
      <c r="AG232" s="25"/>
      <c r="AQ232" s="25"/>
      <c r="BA232" s="25"/>
      <c r="BK232" s="25"/>
      <c r="BU232" s="25"/>
      <c r="CE232" s="25"/>
      <c r="CO232" s="25"/>
      <c r="CY232" s="25"/>
      <c r="DI232" s="25"/>
      <c r="DS232" s="25"/>
      <c r="EC232" s="25"/>
      <c r="EM232" s="25"/>
      <c r="EW232" s="25"/>
      <c r="EZ232" s="36" t="str">
        <f aca="false">IF(AND(D232&gt;=2026,C232&lt;D232),"▶","")</f>
        <v/>
      </c>
    </row>
    <row r="233" customFormat="false" ht="12.75" hidden="false" customHeight="true" outlineLevel="0" collapsed="false">
      <c r="A233" s="19" t="s">
        <v>322</v>
      </c>
      <c r="B233" s="27" t="s">
        <v>332</v>
      </c>
      <c r="C233" s="21" t="n">
        <v>1883</v>
      </c>
      <c r="D233" s="21" t="n">
        <v>1920</v>
      </c>
      <c r="E233" s="22" t="str">
        <f aca="false">IF(C233=D233,"событие",IF(D233&gt;=2026,IF(A233="Личности","жив","существует"),"в прошлом"))</f>
        <v>в прошлом</v>
      </c>
      <c r="F233" s="23" t="n">
        <f aca="false">IF(C233=D233,"",D233-C233)</f>
        <v>37</v>
      </c>
      <c r="G233" s="23"/>
      <c r="H233" s="19" t="s">
        <v>182</v>
      </c>
      <c r="I233" s="24"/>
      <c r="M233" s="25"/>
      <c r="W233" s="25"/>
      <c r="AG233" s="25"/>
      <c r="AQ233" s="25"/>
      <c r="BA233" s="25"/>
      <c r="BK233" s="25"/>
      <c r="BU233" s="25"/>
      <c r="CE233" s="25"/>
      <c r="CO233" s="25"/>
      <c r="CY233" s="25"/>
      <c r="DI233" s="25"/>
      <c r="DS233" s="25"/>
      <c r="EC233" s="25"/>
      <c r="EM233" s="25"/>
      <c r="EW233" s="25"/>
      <c r="EZ233" s="36" t="str">
        <f aca="false">IF(AND(D233&gt;=2026,C233&lt;D233),"▶","")</f>
        <v/>
      </c>
    </row>
    <row r="234" customFormat="false" ht="12.75" hidden="false" customHeight="true" outlineLevel="0" collapsed="false">
      <c r="A234" s="19" t="s">
        <v>322</v>
      </c>
      <c r="B234" s="27" t="s">
        <v>333</v>
      </c>
      <c r="C234" s="21" t="n">
        <v>1889</v>
      </c>
      <c r="D234" s="21" t="n">
        <v>2026</v>
      </c>
      <c r="E234" s="22" t="str">
        <f aca="false">IF(C234=D234,"событие",IF(D234&gt;=2026,IF(A234="Личности","жив","существует"),"в прошлом"))</f>
        <v>существует</v>
      </c>
      <c r="F234" s="23" t="n">
        <f aca="false">IF(C234=D234,"",D234-C234)</f>
        <v>137</v>
      </c>
      <c r="G234" s="23" t="s">
        <v>334</v>
      </c>
      <c r="H234" s="19" t="s">
        <v>216</v>
      </c>
      <c r="I234" s="24"/>
      <c r="M234" s="25"/>
      <c r="W234" s="25"/>
      <c r="AG234" s="25"/>
      <c r="AQ234" s="25"/>
      <c r="BA234" s="25"/>
      <c r="BK234" s="25"/>
      <c r="BU234" s="25"/>
      <c r="CE234" s="25"/>
      <c r="CO234" s="25"/>
      <c r="CY234" s="25"/>
      <c r="DI234" s="25"/>
      <c r="DS234" s="25"/>
      <c r="EC234" s="25"/>
      <c r="EM234" s="25"/>
      <c r="EW234" s="25"/>
      <c r="EZ234" s="45" t="str">
        <f aca="false">IF(AND(D234&gt;=2026,C234&lt;D234),"▶","")</f>
        <v>▶</v>
      </c>
    </row>
    <row r="235" customFormat="false" ht="12.75" hidden="false" customHeight="true" outlineLevel="0" collapsed="false">
      <c r="A235" s="19" t="s">
        <v>322</v>
      </c>
      <c r="B235" s="27" t="s">
        <v>335</v>
      </c>
      <c r="C235" s="21" t="n">
        <v>1900</v>
      </c>
      <c r="D235" s="21" t="n">
        <v>2026</v>
      </c>
      <c r="E235" s="22" t="str">
        <f aca="false">IF(C235=D235,"событие",IF(D235&gt;=2026,IF(A235="Личности","жив","существует"),"в прошлом"))</f>
        <v>существует</v>
      </c>
      <c r="F235" s="23" t="n">
        <f aca="false">IF(C235=D235,"",D235-C235)</f>
        <v>126</v>
      </c>
      <c r="G235" s="23" t="s">
        <v>334</v>
      </c>
      <c r="H235" s="19" t="s">
        <v>216</v>
      </c>
      <c r="I235" s="24"/>
      <c r="M235" s="25"/>
      <c r="W235" s="25"/>
      <c r="AG235" s="25"/>
      <c r="AQ235" s="25"/>
      <c r="BA235" s="25"/>
      <c r="BK235" s="25"/>
      <c r="BU235" s="25"/>
      <c r="CE235" s="25"/>
      <c r="CO235" s="25"/>
      <c r="CY235" s="25"/>
      <c r="DI235" s="25"/>
      <c r="DS235" s="25"/>
      <c r="EC235" s="25"/>
      <c r="EM235" s="25"/>
      <c r="EW235" s="25"/>
      <c r="EZ235" s="45" t="str">
        <f aca="false">IF(AND(D235&gt;=2026,C235&lt;D235),"▶","")</f>
        <v>▶</v>
      </c>
    </row>
    <row r="236" customFormat="false" ht="12.75" hidden="false" customHeight="true" outlineLevel="0" collapsed="false">
      <c r="A236" s="19" t="s">
        <v>322</v>
      </c>
      <c r="B236" s="27" t="s">
        <v>336</v>
      </c>
      <c r="C236" s="21" t="n">
        <v>1912</v>
      </c>
      <c r="D236" s="21" t="n">
        <v>2026</v>
      </c>
      <c r="E236" s="22" t="str">
        <f aca="false">IF(C236=D236,"событие",IF(D236&gt;=2026,IF(A236="Личности","жив","существует"),"в прошлом"))</f>
        <v>существует</v>
      </c>
      <c r="F236" s="23" t="n">
        <f aca="false">IF(C236=D236,"",D236-C236)</f>
        <v>114</v>
      </c>
      <c r="G236" s="23"/>
      <c r="H236" s="19" t="s">
        <v>182</v>
      </c>
      <c r="I236" s="24"/>
      <c r="M236" s="25"/>
      <c r="W236" s="25"/>
      <c r="AG236" s="25"/>
      <c r="AQ236" s="25"/>
      <c r="BA236" s="25"/>
      <c r="BK236" s="25"/>
      <c r="BU236" s="25"/>
      <c r="CE236" s="25"/>
      <c r="CO236" s="25"/>
      <c r="CY236" s="25"/>
      <c r="DI236" s="25"/>
      <c r="DS236" s="25"/>
      <c r="EC236" s="25"/>
      <c r="EM236" s="25"/>
      <c r="EW236" s="25"/>
      <c r="EZ236" s="36" t="str">
        <f aca="false">IF(AND(D236&gt;=2026,C236&lt;D236),"▶","")</f>
        <v>▶</v>
      </c>
    </row>
    <row r="237" customFormat="false" ht="12.75" hidden="false" customHeight="true" outlineLevel="0" collapsed="false">
      <c r="A237" s="19" t="s">
        <v>322</v>
      </c>
      <c r="B237" s="27" t="s">
        <v>337</v>
      </c>
      <c r="C237" s="21" t="n">
        <v>1925</v>
      </c>
      <c r="D237" s="21" t="n">
        <v>2026</v>
      </c>
      <c r="E237" s="22" t="str">
        <f aca="false">IF(C237=D237,"событие",IF(D237&gt;=2026,IF(A237="Личности","жив","существует"),"в прошлом"))</f>
        <v>существует</v>
      </c>
      <c r="F237" s="23" t="n">
        <f aca="false">IF(C237=D237,"",D237-C237)</f>
        <v>101</v>
      </c>
      <c r="G237" s="23"/>
      <c r="H237" s="19" t="s">
        <v>182</v>
      </c>
      <c r="I237" s="24"/>
      <c r="M237" s="25"/>
      <c r="W237" s="25"/>
      <c r="AG237" s="25"/>
      <c r="AQ237" s="25"/>
      <c r="BA237" s="25"/>
      <c r="BK237" s="25"/>
      <c r="BU237" s="25"/>
      <c r="CE237" s="25"/>
      <c r="CO237" s="25"/>
      <c r="CY237" s="25"/>
      <c r="DI237" s="25"/>
      <c r="DS237" s="25"/>
      <c r="EC237" s="25"/>
      <c r="EM237" s="25"/>
      <c r="EW237" s="25"/>
      <c r="EZ237" s="36" t="str">
        <f aca="false">IF(AND(D237&gt;=2026,C237&lt;D237),"▶","")</f>
        <v>▶</v>
      </c>
    </row>
    <row r="238" customFormat="false" ht="12.75" hidden="false" customHeight="true" outlineLevel="0" collapsed="false">
      <c r="A238" s="19" t="s">
        <v>322</v>
      </c>
      <c r="B238" s="27" t="s">
        <v>338</v>
      </c>
      <c r="C238" s="21" t="n">
        <v>1926</v>
      </c>
      <c r="D238" s="21" t="n">
        <v>2026</v>
      </c>
      <c r="E238" s="22" t="str">
        <f aca="false">IF(C238=D238,"событие",IF(D238&gt;=2026,IF(A238="Личности","жив","существует"),"в прошлом"))</f>
        <v>существует</v>
      </c>
      <c r="F238" s="23" t="n">
        <f aca="false">IF(C238=D238,"",D238-C238)</f>
        <v>100</v>
      </c>
      <c r="G238" s="23" t="s">
        <v>339</v>
      </c>
      <c r="H238" s="19" t="s">
        <v>182</v>
      </c>
      <c r="I238" s="24"/>
      <c r="M238" s="25"/>
      <c r="W238" s="25"/>
      <c r="AG238" s="25"/>
      <c r="AQ238" s="25"/>
      <c r="BA238" s="25"/>
      <c r="BK238" s="25"/>
      <c r="BU238" s="25"/>
      <c r="CE238" s="25"/>
      <c r="CO238" s="25"/>
      <c r="CY238" s="25"/>
      <c r="DI238" s="25"/>
      <c r="DS238" s="25"/>
      <c r="EC238" s="25"/>
      <c r="EM238" s="25"/>
      <c r="EW238" s="25"/>
      <c r="EZ238" s="36" t="str">
        <f aca="false">IF(AND(D238&gt;=2026,C238&lt;D238),"▶","")</f>
        <v>▶</v>
      </c>
    </row>
    <row r="239" customFormat="false" ht="12.75" hidden="false" customHeight="true" outlineLevel="0" collapsed="false">
      <c r="A239" s="19" t="s">
        <v>322</v>
      </c>
      <c r="B239" s="27" t="s">
        <v>340</v>
      </c>
      <c r="C239" s="21" t="n">
        <v>1926</v>
      </c>
      <c r="D239" s="21" t="n">
        <v>2026</v>
      </c>
      <c r="E239" s="22" t="str">
        <f aca="false">IF(C239=D239,"событие",IF(D239&gt;=2026,IF(A239="Личности","жив","существует"),"в прошлом"))</f>
        <v>существует</v>
      </c>
      <c r="F239" s="23" t="n">
        <f aca="false">IF(C239=D239,"",D239-C239)</f>
        <v>100</v>
      </c>
      <c r="G239" s="23"/>
      <c r="H239" s="19" t="s">
        <v>182</v>
      </c>
      <c r="I239" s="24"/>
      <c r="M239" s="25"/>
      <c r="W239" s="25"/>
      <c r="AG239" s="25"/>
      <c r="AQ239" s="25"/>
      <c r="BA239" s="25"/>
      <c r="BK239" s="25"/>
      <c r="BU239" s="25"/>
      <c r="CE239" s="25"/>
      <c r="CO239" s="25"/>
      <c r="CY239" s="25"/>
      <c r="DI239" s="25"/>
      <c r="DS239" s="25"/>
      <c r="EC239" s="25"/>
      <c r="EM239" s="25"/>
      <c r="EW239" s="25"/>
      <c r="EZ239" s="36" t="str">
        <f aca="false">IF(AND(D239&gt;=2026,C239&lt;D239),"▶","")</f>
        <v>▶</v>
      </c>
    </row>
    <row r="240" customFormat="false" ht="12.75" hidden="false" customHeight="true" outlineLevel="0" collapsed="false">
      <c r="A240" s="19" t="s">
        <v>322</v>
      </c>
      <c r="B240" s="27" t="s">
        <v>341</v>
      </c>
      <c r="C240" s="21" t="n">
        <v>1928</v>
      </c>
      <c r="D240" s="21" t="n">
        <v>2026</v>
      </c>
      <c r="E240" s="22" t="str">
        <f aca="false">IF(C240=D240,"событие",IF(D240&gt;=2026,IF(A240="Личности","жив","существует"),"в прошлом"))</f>
        <v>существует</v>
      </c>
      <c r="F240" s="23" t="n">
        <f aca="false">IF(C240=D240,"",D240-C240)</f>
        <v>98</v>
      </c>
      <c r="G240" s="23" t="s">
        <v>342</v>
      </c>
      <c r="H240" s="19" t="s">
        <v>182</v>
      </c>
      <c r="I240" s="24"/>
      <c r="M240" s="25"/>
      <c r="W240" s="25"/>
      <c r="AG240" s="25"/>
      <c r="AQ240" s="25"/>
      <c r="BA240" s="25"/>
      <c r="BK240" s="25"/>
      <c r="BU240" s="25"/>
      <c r="CE240" s="25"/>
      <c r="CO240" s="25"/>
      <c r="CY240" s="25"/>
      <c r="DI240" s="25"/>
      <c r="DS240" s="25"/>
      <c r="EC240" s="25"/>
      <c r="EM240" s="25"/>
      <c r="EW240" s="25"/>
      <c r="EZ240" s="36" t="str">
        <f aca="false">IF(AND(D240&gt;=2026,C240&lt;D240),"▶","")</f>
        <v>▶</v>
      </c>
    </row>
    <row r="241" customFormat="false" ht="12.75" hidden="false" customHeight="true" outlineLevel="0" collapsed="false">
      <c r="A241" s="19" t="s">
        <v>322</v>
      </c>
      <c r="B241" s="27" t="s">
        <v>343</v>
      </c>
      <c r="C241" s="21" t="n">
        <v>1930</v>
      </c>
      <c r="D241" s="21" t="n">
        <v>2026</v>
      </c>
      <c r="E241" s="22" t="str">
        <f aca="false">IF(C241=D241,"событие",IF(D241&gt;=2026,IF(A241="Личности","жив","существует"),"в прошлом"))</f>
        <v>существует</v>
      </c>
      <c r="F241" s="23" t="n">
        <f aca="false">IF(C241=D241,"",D241-C241)</f>
        <v>96</v>
      </c>
      <c r="G241" s="23" t="s">
        <v>334</v>
      </c>
      <c r="H241" s="19" t="s">
        <v>216</v>
      </c>
      <c r="I241" s="24"/>
      <c r="M241" s="25"/>
      <c r="W241" s="25"/>
      <c r="AG241" s="25"/>
      <c r="AQ241" s="25"/>
      <c r="BA241" s="25"/>
      <c r="BK241" s="25"/>
      <c r="BU241" s="25"/>
      <c r="CE241" s="25"/>
      <c r="CO241" s="25"/>
      <c r="CY241" s="25"/>
      <c r="DI241" s="25"/>
      <c r="DS241" s="25"/>
      <c r="EC241" s="25"/>
      <c r="EM241" s="25"/>
      <c r="EW241" s="25"/>
      <c r="EZ241" s="45" t="str">
        <f aca="false">IF(AND(D241&gt;=2026,C241&lt;D241),"▶","")</f>
        <v>▶</v>
      </c>
    </row>
    <row r="242" customFormat="false" ht="12.75" hidden="false" customHeight="true" outlineLevel="0" collapsed="false">
      <c r="A242" s="19" t="s">
        <v>322</v>
      </c>
      <c r="B242" s="27" t="s">
        <v>344</v>
      </c>
      <c r="C242" s="21" t="n">
        <v>1941</v>
      </c>
      <c r="D242" s="21" t="n">
        <v>2026</v>
      </c>
      <c r="E242" s="22" t="str">
        <f aca="false">IF(C242=D242,"событие",IF(D242&gt;=2026,IF(A242="Личности","жив","существует"),"в прошлом"))</f>
        <v>существует</v>
      </c>
      <c r="F242" s="23" t="n">
        <f aca="false">IF(C242=D242,"",D242-C242)</f>
        <v>85</v>
      </c>
      <c r="G242" s="23" t="s">
        <v>345</v>
      </c>
      <c r="H242" s="19" t="s">
        <v>182</v>
      </c>
      <c r="I242" s="24"/>
      <c r="M242" s="25"/>
      <c r="W242" s="25"/>
      <c r="AG242" s="25"/>
      <c r="AQ242" s="25"/>
      <c r="BA242" s="25"/>
      <c r="BK242" s="25"/>
      <c r="BU242" s="25"/>
      <c r="CE242" s="25"/>
      <c r="CO242" s="25"/>
      <c r="CY242" s="25"/>
      <c r="DI242" s="25"/>
      <c r="DS242" s="25"/>
      <c r="EC242" s="25"/>
      <c r="EM242" s="25"/>
      <c r="EW242" s="25"/>
      <c r="EZ242" s="36" t="str">
        <f aca="false">IF(AND(D242&gt;=2026,C242&lt;D242),"▶","")</f>
        <v>▶</v>
      </c>
    </row>
    <row r="243" customFormat="false" ht="12.75" hidden="false" customHeight="true" outlineLevel="0" collapsed="false">
      <c r="A243" s="19" t="s">
        <v>322</v>
      </c>
      <c r="B243" s="27" t="s">
        <v>346</v>
      </c>
      <c r="C243" s="21" t="n">
        <v>1953</v>
      </c>
      <c r="D243" s="21" t="n">
        <v>2026</v>
      </c>
      <c r="E243" s="22" t="str">
        <f aca="false">IF(C243=D243,"событие",IF(D243&gt;=2026,IF(A243="Личности","жив","существует"),"в прошлом"))</f>
        <v>существует</v>
      </c>
      <c r="F243" s="23" t="n">
        <f aca="false">IF(C243=D243,"",D243-C243)</f>
        <v>73</v>
      </c>
      <c r="G243" s="23" t="s">
        <v>345</v>
      </c>
      <c r="H243" s="19" t="s">
        <v>182</v>
      </c>
      <c r="I243" s="24"/>
      <c r="M243" s="25"/>
      <c r="W243" s="25"/>
      <c r="AG243" s="25"/>
      <c r="AQ243" s="25"/>
      <c r="BA243" s="25"/>
      <c r="BK243" s="25"/>
      <c r="BU243" s="25"/>
      <c r="CE243" s="25"/>
      <c r="CO243" s="25"/>
      <c r="CY243" s="25"/>
      <c r="DI243" s="25"/>
      <c r="DS243" s="25"/>
      <c r="EC243" s="25"/>
      <c r="EM243" s="25"/>
      <c r="EW243" s="25"/>
      <c r="EZ243" s="36" t="str">
        <f aca="false">IF(AND(D243&gt;=2026,C243&lt;D243),"▶","")</f>
        <v>▶</v>
      </c>
    </row>
    <row r="244" customFormat="false" ht="12.75" hidden="false" customHeight="true" outlineLevel="0" collapsed="false">
      <c r="A244" s="19" t="s">
        <v>322</v>
      </c>
      <c r="B244" s="27" t="s">
        <v>347</v>
      </c>
      <c r="C244" s="21" t="n">
        <v>1966</v>
      </c>
      <c r="D244" s="21" t="n">
        <v>2026</v>
      </c>
      <c r="E244" s="22" t="str">
        <f aca="false">IF(C244=D244,"событие",IF(D244&gt;=2026,IF(A244="Личности","жив","существует"),"в прошлом"))</f>
        <v>существует</v>
      </c>
      <c r="F244" s="23" t="n">
        <f aca="false">IF(C244=D244,"",D244-C244)</f>
        <v>60</v>
      </c>
      <c r="G244" s="23" t="s">
        <v>348</v>
      </c>
      <c r="H244" s="19" t="s">
        <v>182</v>
      </c>
      <c r="I244" s="24"/>
      <c r="M244" s="25"/>
      <c r="W244" s="25"/>
      <c r="AG244" s="25"/>
      <c r="AQ244" s="25"/>
      <c r="BA244" s="25"/>
      <c r="BK244" s="25"/>
      <c r="BU244" s="25"/>
      <c r="CE244" s="25"/>
      <c r="CO244" s="25"/>
      <c r="CY244" s="25"/>
      <c r="DI244" s="25"/>
      <c r="DS244" s="25"/>
      <c r="EC244" s="25"/>
      <c r="EM244" s="25"/>
      <c r="EW244" s="25"/>
      <c r="EZ244" s="36" t="str">
        <f aca="false">IF(AND(D244&gt;=2026,C244&lt;D244),"▶","")</f>
        <v>▶</v>
      </c>
    </row>
    <row r="245" customFormat="false" ht="12.75" hidden="false" customHeight="true" outlineLevel="0" collapsed="false">
      <c r="A245" s="19" t="s">
        <v>322</v>
      </c>
      <c r="B245" s="27" t="s">
        <v>349</v>
      </c>
      <c r="C245" s="21" t="n">
        <v>1969</v>
      </c>
      <c r="D245" s="21" t="n">
        <v>2026</v>
      </c>
      <c r="E245" s="22" t="str">
        <f aca="false">IF(C245=D245,"событие",IF(D245&gt;=2026,IF(A245="Личности","жив","существует"),"в прошлом"))</f>
        <v>существует</v>
      </c>
      <c r="F245" s="23" t="n">
        <f aca="false">IF(C245=D245,"",D245-C245)</f>
        <v>57</v>
      </c>
      <c r="G245" s="23" t="s">
        <v>345</v>
      </c>
      <c r="H245" s="19" t="s">
        <v>182</v>
      </c>
      <c r="I245" s="24"/>
      <c r="M245" s="25"/>
      <c r="W245" s="25"/>
      <c r="AG245" s="25"/>
      <c r="AQ245" s="25"/>
      <c r="BA245" s="25"/>
      <c r="BK245" s="25"/>
      <c r="BU245" s="25"/>
      <c r="CE245" s="25"/>
      <c r="CO245" s="25"/>
      <c r="CY245" s="25"/>
      <c r="DI245" s="25"/>
      <c r="DS245" s="25"/>
      <c r="EC245" s="25"/>
      <c r="EM245" s="25"/>
      <c r="EW245" s="25"/>
      <c r="EZ245" s="36" t="str">
        <f aca="false">IF(AND(D245&gt;=2026,C245&lt;D245),"▶","")</f>
        <v>▶</v>
      </c>
    </row>
    <row r="246" customFormat="false" ht="12.75" hidden="false" customHeight="true" outlineLevel="0" collapsed="false">
      <c r="A246" s="19" t="s">
        <v>322</v>
      </c>
      <c r="B246" s="27" t="s">
        <v>350</v>
      </c>
      <c r="C246" s="21" t="n">
        <v>1987</v>
      </c>
      <c r="D246" s="21" t="n">
        <v>2026</v>
      </c>
      <c r="E246" s="22" t="str">
        <f aca="false">IF(C246=D246,"событие",IF(D246&gt;=2026,IF(A246="Личности","жив","существует"),"в прошлом"))</f>
        <v>существует</v>
      </c>
      <c r="F246" s="23" t="n">
        <f aca="false">IF(C246=D246,"",D246-C246)</f>
        <v>39</v>
      </c>
      <c r="G246" s="23" t="s">
        <v>351</v>
      </c>
      <c r="H246" s="19" t="s">
        <v>182</v>
      </c>
      <c r="I246" s="24"/>
      <c r="M246" s="25"/>
      <c r="W246" s="25"/>
      <c r="AG246" s="25"/>
      <c r="AQ246" s="25"/>
      <c r="BA246" s="25"/>
      <c r="BK246" s="25"/>
      <c r="BU246" s="25"/>
      <c r="CE246" s="25"/>
      <c r="CO246" s="25"/>
      <c r="CY246" s="25"/>
      <c r="DI246" s="25"/>
      <c r="DS246" s="25"/>
      <c r="EC246" s="25"/>
      <c r="EM246" s="25"/>
      <c r="EW246" s="25"/>
      <c r="EZ246" s="36" t="str">
        <f aca="false">IF(AND(D246&gt;=2026,C246&lt;D246),"▶","")</f>
        <v>▶</v>
      </c>
    </row>
    <row r="247" customFormat="false" ht="21.75" hidden="false" customHeight="true" outlineLevel="0" collapsed="false">
      <c r="A247" s="64" t="s">
        <v>352</v>
      </c>
      <c r="B247" s="65" t="s">
        <v>353</v>
      </c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7"/>
      <c r="N247" s="66"/>
      <c r="O247" s="66"/>
      <c r="P247" s="66"/>
      <c r="Q247" s="66"/>
      <c r="R247" s="66"/>
      <c r="S247" s="66"/>
      <c r="T247" s="66"/>
      <c r="U247" s="66"/>
      <c r="V247" s="66"/>
      <c r="W247" s="67"/>
      <c r="X247" s="66"/>
      <c r="Y247" s="66"/>
      <c r="Z247" s="66"/>
      <c r="AA247" s="66"/>
      <c r="AB247" s="66"/>
      <c r="AC247" s="66"/>
      <c r="AD247" s="66"/>
      <c r="AE247" s="66"/>
      <c r="AF247" s="66"/>
      <c r="AG247" s="67"/>
      <c r="AH247" s="66"/>
      <c r="AI247" s="66"/>
      <c r="AJ247" s="66"/>
      <c r="AK247" s="66"/>
      <c r="AL247" s="66"/>
      <c r="AM247" s="66"/>
      <c r="AN247" s="66"/>
      <c r="AO247" s="66"/>
      <c r="AP247" s="66"/>
      <c r="AQ247" s="67"/>
      <c r="AR247" s="66"/>
      <c r="AS247" s="66"/>
      <c r="AT247" s="66"/>
      <c r="AU247" s="66"/>
      <c r="AV247" s="66"/>
      <c r="AW247" s="66"/>
      <c r="AX247" s="66"/>
      <c r="AY247" s="66"/>
      <c r="AZ247" s="66"/>
      <c r="BA247" s="67"/>
      <c r="BB247" s="66"/>
      <c r="BC247" s="66"/>
      <c r="BD247" s="66"/>
      <c r="BE247" s="66"/>
      <c r="BF247" s="66"/>
      <c r="BG247" s="66"/>
      <c r="BH247" s="66"/>
      <c r="BI247" s="66"/>
      <c r="BJ247" s="66"/>
      <c r="BK247" s="67"/>
      <c r="BL247" s="66"/>
      <c r="BM247" s="66"/>
      <c r="BN247" s="66"/>
      <c r="BO247" s="66"/>
      <c r="BP247" s="66"/>
      <c r="BQ247" s="66"/>
      <c r="BR247" s="66"/>
      <c r="BS247" s="66"/>
      <c r="BT247" s="66"/>
      <c r="BU247" s="67"/>
      <c r="BV247" s="66"/>
      <c r="BW247" s="66"/>
      <c r="BX247" s="66"/>
      <c r="BY247" s="66"/>
      <c r="BZ247" s="66"/>
      <c r="CA247" s="66"/>
      <c r="CB247" s="66"/>
      <c r="CC247" s="66"/>
      <c r="CD247" s="66"/>
      <c r="CE247" s="67"/>
      <c r="CF247" s="66"/>
      <c r="CG247" s="66"/>
      <c r="CH247" s="66"/>
      <c r="CI247" s="66"/>
      <c r="CJ247" s="66"/>
      <c r="CK247" s="66"/>
      <c r="CL247" s="66"/>
      <c r="CM247" s="66"/>
      <c r="CN247" s="66"/>
      <c r="CO247" s="67"/>
      <c r="CP247" s="66"/>
      <c r="CQ247" s="66"/>
      <c r="CR247" s="66"/>
      <c r="CS247" s="66"/>
      <c r="CT247" s="66"/>
      <c r="CU247" s="66"/>
      <c r="CV247" s="66"/>
      <c r="CW247" s="66"/>
      <c r="CX247" s="66"/>
      <c r="CY247" s="67"/>
      <c r="CZ247" s="66"/>
      <c r="DA247" s="66"/>
      <c r="DB247" s="66"/>
      <c r="DC247" s="66"/>
      <c r="DD247" s="66"/>
      <c r="DE247" s="66"/>
      <c r="DF247" s="66"/>
      <c r="DG247" s="66"/>
      <c r="DH247" s="66"/>
      <c r="DI247" s="67"/>
      <c r="DJ247" s="66"/>
      <c r="DK247" s="66"/>
      <c r="DL247" s="66"/>
      <c r="DM247" s="66"/>
      <c r="DN247" s="66"/>
      <c r="DO247" s="66"/>
      <c r="DP247" s="66"/>
      <c r="DQ247" s="66"/>
      <c r="DR247" s="66"/>
      <c r="DS247" s="67"/>
      <c r="DT247" s="66"/>
      <c r="DU247" s="66"/>
      <c r="DV247" s="66"/>
      <c r="DW247" s="66"/>
      <c r="DX247" s="66"/>
      <c r="DY247" s="66"/>
      <c r="DZ247" s="66"/>
      <c r="EA247" s="66"/>
      <c r="EB247" s="66"/>
      <c r="EC247" s="67"/>
      <c r="ED247" s="66"/>
      <c r="EE247" s="66"/>
      <c r="EF247" s="66"/>
      <c r="EG247" s="66"/>
      <c r="EH247" s="66"/>
      <c r="EI247" s="66"/>
      <c r="EJ247" s="66"/>
      <c r="EK247" s="66"/>
      <c r="EL247" s="66"/>
      <c r="EM247" s="67"/>
      <c r="EN247" s="66"/>
      <c r="EO247" s="66"/>
      <c r="EP247" s="66"/>
      <c r="EQ247" s="66"/>
      <c r="ER247" s="66"/>
      <c r="ES247" s="66"/>
      <c r="ET247" s="66"/>
      <c r="EU247" s="66"/>
      <c r="EV247" s="66"/>
      <c r="EW247" s="67"/>
      <c r="EX247" s="66"/>
      <c r="EY247" s="66"/>
      <c r="EZ247" s="66"/>
    </row>
    <row r="248" customFormat="false" ht="12.75" hidden="false" customHeight="true" outlineLevel="0" collapsed="false">
      <c r="A248" s="19" t="s">
        <v>354</v>
      </c>
      <c r="B248" s="27" t="s">
        <v>355</v>
      </c>
      <c r="C248" s="21" t="n">
        <v>1971</v>
      </c>
      <c r="D248" s="21" t="n">
        <v>1977</v>
      </c>
      <c r="E248" s="22" t="str">
        <f aca="false">IF(C248=D248,"событие",IF(D248&gt;=2026,IF(A248="Личности","жив","существует"),"в прошлом"))</f>
        <v>в прошлом</v>
      </c>
      <c r="F248" s="23" t="n">
        <f aca="false">IF(C248=D248,"",D248-C248)</f>
        <v>6</v>
      </c>
      <c r="G248" s="23" t="s">
        <v>356</v>
      </c>
      <c r="H248" s="19" t="s">
        <v>357</v>
      </c>
      <c r="I248" s="24"/>
      <c r="M248" s="25"/>
      <c r="W248" s="25"/>
      <c r="AG248" s="25"/>
      <c r="AQ248" s="25"/>
      <c r="BA248" s="25"/>
      <c r="BK248" s="25"/>
      <c r="BU248" s="25"/>
      <c r="CE248" s="25"/>
      <c r="CO248" s="25"/>
      <c r="CY248" s="25"/>
      <c r="DI248" s="25"/>
      <c r="DS248" s="25"/>
      <c r="EC248" s="25"/>
      <c r="EM248" s="25"/>
      <c r="EW248" s="25"/>
      <c r="EZ248" s="68" t="str">
        <f aca="false">IF(AND(D248&gt;=2026,C248&lt;D248),"▶","")</f>
        <v/>
      </c>
    </row>
    <row r="249" customFormat="false" ht="12.75" hidden="false" customHeight="true" outlineLevel="0" collapsed="false">
      <c r="A249" s="19" t="s">
        <v>354</v>
      </c>
      <c r="B249" s="27" t="s">
        <v>358</v>
      </c>
      <c r="C249" s="21" t="n">
        <v>1988</v>
      </c>
      <c r="D249" s="21" t="n">
        <v>2026</v>
      </c>
      <c r="E249" s="22" t="str">
        <f aca="false">IF(C249=D249,"событие",IF(D249&gt;=2026,IF(A249="Личности","жив","существует"),"в прошлом"))</f>
        <v>существует</v>
      </c>
      <c r="F249" s="23" t="n">
        <f aca="false">IF(C249=D249,"",D249-C249)</f>
        <v>38</v>
      </c>
      <c r="G249" s="23" t="s">
        <v>359</v>
      </c>
      <c r="H249" s="19" t="s">
        <v>357</v>
      </c>
      <c r="I249" s="24"/>
      <c r="M249" s="25"/>
      <c r="W249" s="25"/>
      <c r="AG249" s="25"/>
      <c r="AQ249" s="25"/>
      <c r="BA249" s="25"/>
      <c r="BK249" s="25"/>
      <c r="BU249" s="25"/>
      <c r="CE249" s="25"/>
      <c r="CO249" s="25"/>
      <c r="CY249" s="25"/>
      <c r="DI249" s="25"/>
      <c r="DS249" s="25"/>
      <c r="EC249" s="25"/>
      <c r="EM249" s="25"/>
      <c r="EW249" s="25"/>
      <c r="EZ249" s="68" t="str">
        <f aca="false">IF(AND(D249&gt;=2026,C249&lt;D249),"▶","")</f>
        <v>▶</v>
      </c>
    </row>
    <row r="250" customFormat="false" ht="12.75" hidden="false" customHeight="true" outlineLevel="0" collapsed="false">
      <c r="A250" s="19" t="s">
        <v>354</v>
      </c>
      <c r="B250" s="27" t="s">
        <v>360</v>
      </c>
      <c r="C250" s="21" t="n">
        <v>2002</v>
      </c>
      <c r="D250" s="21" t="n">
        <v>2026</v>
      </c>
      <c r="E250" s="22" t="str">
        <f aca="false">IF(C250=D250,"событие",IF(D250&gt;=2026,IF(A250="Личности","жив","существует"),"в прошлом"))</f>
        <v>существует</v>
      </c>
      <c r="F250" s="23" t="n">
        <f aca="false">IF(C250=D250,"",D250-C250)</f>
        <v>24</v>
      </c>
      <c r="G250" s="23" t="s">
        <v>359</v>
      </c>
      <c r="H250" s="19" t="s">
        <v>357</v>
      </c>
      <c r="I250" s="24"/>
      <c r="M250" s="25"/>
      <c r="W250" s="25"/>
      <c r="AG250" s="25"/>
      <c r="AQ250" s="25"/>
      <c r="BA250" s="25"/>
      <c r="BK250" s="25"/>
      <c r="BU250" s="25"/>
      <c r="CE250" s="25"/>
      <c r="CO250" s="25"/>
      <c r="CY250" s="25"/>
      <c r="DI250" s="25"/>
      <c r="DS250" s="25"/>
      <c r="EC250" s="25"/>
      <c r="EM250" s="25"/>
      <c r="EW250" s="25"/>
      <c r="EZ250" s="68" t="str">
        <f aca="false">IF(AND(D250&gt;=2026,C250&lt;D250),"▶","")</f>
        <v>▶</v>
      </c>
    </row>
    <row r="251" customFormat="false" ht="12.75" hidden="false" customHeight="true" outlineLevel="0" collapsed="false">
      <c r="A251" s="19" t="s">
        <v>354</v>
      </c>
      <c r="B251" s="27" t="s">
        <v>361</v>
      </c>
      <c r="C251" s="21" t="n">
        <v>2006</v>
      </c>
      <c r="D251" s="21" t="n">
        <v>2026</v>
      </c>
      <c r="E251" s="22" t="str">
        <f aca="false">IF(C251=D251,"событие",IF(D251&gt;=2026,IF(A251="Личности","жив","существует"),"в прошлом"))</f>
        <v>существует</v>
      </c>
      <c r="F251" s="23" t="n">
        <f aca="false">IF(C251=D251,"",D251-C251)</f>
        <v>20</v>
      </c>
      <c r="G251" s="23" t="s">
        <v>362</v>
      </c>
      <c r="H251" s="19" t="s">
        <v>357</v>
      </c>
      <c r="I251" s="24"/>
      <c r="M251" s="25"/>
      <c r="W251" s="25"/>
      <c r="AG251" s="25"/>
      <c r="AQ251" s="25"/>
      <c r="BA251" s="25"/>
      <c r="BK251" s="25"/>
      <c r="BU251" s="25"/>
      <c r="CE251" s="25"/>
      <c r="CO251" s="25"/>
      <c r="CY251" s="25"/>
      <c r="DI251" s="25"/>
      <c r="DS251" s="25"/>
      <c r="EC251" s="25"/>
      <c r="EM251" s="25"/>
      <c r="EW251" s="25"/>
      <c r="EZ251" s="68" t="str">
        <f aca="false">IF(AND(D251&gt;=2026,C251&lt;D251),"▶","")</f>
        <v>▶</v>
      </c>
    </row>
    <row r="252" customFormat="false" ht="12.75" hidden="false" customHeight="true" outlineLevel="0" collapsed="false">
      <c r="A252" s="19" t="s">
        <v>354</v>
      </c>
      <c r="B252" s="27" t="s">
        <v>363</v>
      </c>
      <c r="C252" s="21" t="n">
        <v>2012</v>
      </c>
      <c r="D252" s="21" t="n">
        <v>2025</v>
      </c>
      <c r="E252" s="22" t="str">
        <f aca="false">IF(C252=D252,"событие",IF(D252&gt;=2026,IF(A252="Личности","жив","существует"),"в прошлом"))</f>
        <v>в прошлом</v>
      </c>
      <c r="F252" s="23" t="n">
        <f aca="false">IF(C252=D252,"",D252-C252)</f>
        <v>13</v>
      </c>
      <c r="G252" s="23" t="s">
        <v>362</v>
      </c>
      <c r="H252" s="19" t="s">
        <v>357</v>
      </c>
      <c r="I252" s="24"/>
      <c r="M252" s="25"/>
      <c r="W252" s="25"/>
      <c r="AG252" s="25"/>
      <c r="AQ252" s="25"/>
      <c r="BA252" s="25"/>
      <c r="BK252" s="25"/>
      <c r="BU252" s="25"/>
      <c r="CE252" s="25"/>
      <c r="CO252" s="25"/>
      <c r="CY252" s="25"/>
      <c r="DI252" s="25"/>
      <c r="DS252" s="25"/>
      <c r="EC252" s="25"/>
      <c r="EM252" s="25"/>
      <c r="EW252" s="25"/>
      <c r="EZ252" s="68" t="str">
        <f aca="false">IF(AND(D252&gt;=2026,C252&lt;D252),"▶","")</f>
        <v/>
      </c>
    </row>
    <row r="253" customFormat="false" ht="21.75" hidden="false" customHeight="true" outlineLevel="0" collapsed="false">
      <c r="A253" s="15" t="s">
        <v>364</v>
      </c>
      <c r="B253" s="16" t="s">
        <v>365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/>
      <c r="N253" s="17"/>
      <c r="O253" s="17"/>
      <c r="P253" s="17"/>
      <c r="Q253" s="17"/>
      <c r="R253" s="17"/>
      <c r="S253" s="17"/>
      <c r="T253" s="17"/>
      <c r="U253" s="17"/>
      <c r="V253" s="17"/>
      <c r="W253" s="18"/>
      <c r="X253" s="17"/>
      <c r="Y253" s="17"/>
      <c r="Z253" s="17"/>
      <c r="AA253" s="17"/>
      <c r="AB253" s="17"/>
      <c r="AC253" s="17"/>
      <c r="AD253" s="17"/>
      <c r="AE253" s="17"/>
      <c r="AF253" s="17"/>
      <c r="AG253" s="18"/>
      <c r="AH253" s="17"/>
      <c r="AI253" s="17"/>
      <c r="AJ253" s="17"/>
      <c r="AK253" s="17"/>
      <c r="AL253" s="17"/>
      <c r="AM253" s="17"/>
      <c r="AN253" s="17"/>
      <c r="AO253" s="17"/>
      <c r="AP253" s="17"/>
      <c r="AQ253" s="18"/>
      <c r="AR253" s="17"/>
      <c r="AS253" s="17"/>
      <c r="AT253" s="17"/>
      <c r="AU253" s="17"/>
      <c r="AV253" s="17"/>
      <c r="AW253" s="17"/>
      <c r="AX253" s="17"/>
      <c r="AY253" s="17"/>
      <c r="AZ253" s="17"/>
      <c r="BA253" s="18"/>
      <c r="BB253" s="17"/>
      <c r="BC253" s="17"/>
      <c r="BD253" s="17"/>
      <c r="BE253" s="17"/>
      <c r="BF253" s="17"/>
      <c r="BG253" s="17"/>
      <c r="BH253" s="17"/>
      <c r="BI253" s="17"/>
      <c r="BJ253" s="17"/>
      <c r="BK253" s="18"/>
      <c r="BL253" s="17"/>
      <c r="BM253" s="17"/>
      <c r="BN253" s="17"/>
      <c r="BO253" s="17"/>
      <c r="BP253" s="17"/>
      <c r="BQ253" s="17"/>
      <c r="BR253" s="17"/>
      <c r="BS253" s="17"/>
      <c r="BT253" s="17"/>
      <c r="BU253" s="18"/>
      <c r="BV253" s="17"/>
      <c r="BW253" s="17"/>
      <c r="BX253" s="17"/>
      <c r="BY253" s="17"/>
      <c r="BZ253" s="17"/>
      <c r="CA253" s="17"/>
      <c r="CB253" s="17"/>
      <c r="CC253" s="17"/>
      <c r="CD253" s="17"/>
      <c r="CE253" s="18"/>
      <c r="CF253" s="17"/>
      <c r="CG253" s="17"/>
      <c r="CH253" s="17"/>
      <c r="CI253" s="17"/>
      <c r="CJ253" s="17"/>
      <c r="CK253" s="17"/>
      <c r="CL253" s="17"/>
      <c r="CM253" s="17"/>
      <c r="CN253" s="17"/>
      <c r="CO253" s="18"/>
      <c r="CP253" s="17"/>
      <c r="CQ253" s="17"/>
      <c r="CR253" s="17"/>
      <c r="CS253" s="17"/>
      <c r="CT253" s="17"/>
      <c r="CU253" s="17"/>
      <c r="CV253" s="17"/>
      <c r="CW253" s="17"/>
      <c r="CX253" s="17"/>
      <c r="CY253" s="18"/>
      <c r="CZ253" s="17"/>
      <c r="DA253" s="17"/>
      <c r="DB253" s="17"/>
      <c r="DC253" s="17"/>
      <c r="DD253" s="17"/>
      <c r="DE253" s="17"/>
      <c r="DF253" s="17"/>
      <c r="DG253" s="17"/>
      <c r="DH253" s="17"/>
      <c r="DI253" s="18"/>
      <c r="DJ253" s="17"/>
      <c r="DK253" s="17"/>
      <c r="DL253" s="17"/>
      <c r="DM253" s="17"/>
      <c r="DN253" s="17"/>
      <c r="DO253" s="17"/>
      <c r="DP253" s="17"/>
      <c r="DQ253" s="17"/>
      <c r="DR253" s="17"/>
      <c r="DS253" s="18"/>
      <c r="DT253" s="17"/>
      <c r="DU253" s="17"/>
      <c r="DV253" s="17"/>
      <c r="DW253" s="17"/>
      <c r="DX253" s="17"/>
      <c r="DY253" s="17"/>
      <c r="DZ253" s="17"/>
      <c r="EA253" s="17"/>
      <c r="EB253" s="17"/>
      <c r="EC253" s="18"/>
      <c r="ED253" s="17"/>
      <c r="EE253" s="17"/>
      <c r="EF253" s="17"/>
      <c r="EG253" s="17"/>
      <c r="EH253" s="17"/>
      <c r="EI253" s="17"/>
      <c r="EJ253" s="17"/>
      <c r="EK253" s="17"/>
      <c r="EL253" s="17"/>
      <c r="EM253" s="18"/>
      <c r="EN253" s="17"/>
      <c r="EO253" s="17"/>
      <c r="EP253" s="17"/>
      <c r="EQ253" s="17"/>
      <c r="ER253" s="17"/>
      <c r="ES253" s="17"/>
      <c r="ET253" s="17"/>
      <c r="EU253" s="17"/>
      <c r="EV253" s="17"/>
      <c r="EW253" s="18"/>
      <c r="EX253" s="17"/>
      <c r="EY253" s="17"/>
      <c r="EZ253" s="17"/>
    </row>
    <row r="254" customFormat="false" ht="12.75" hidden="false" customHeight="true" outlineLevel="0" collapsed="false">
      <c r="A254" s="19" t="s">
        <v>366</v>
      </c>
      <c r="B254" s="27" t="s">
        <v>367</v>
      </c>
      <c r="C254" s="21" t="n">
        <v>570</v>
      </c>
      <c r="D254" s="21" t="n">
        <v>632</v>
      </c>
      <c r="E254" s="22" t="str">
        <f aca="false">IF(C254=D254,"событие",IF(D254&gt;=2026,IF(A254="Личности","жив","существует"),"в прошлом"))</f>
        <v>в прошлом</v>
      </c>
      <c r="F254" s="23" t="n">
        <f aca="false">IF(C254=D254,"",D254-C254)</f>
        <v>62</v>
      </c>
      <c r="G254" s="23"/>
      <c r="H254" s="19" t="s">
        <v>136</v>
      </c>
      <c r="I254" s="24"/>
      <c r="M254" s="25"/>
      <c r="W254" s="25"/>
      <c r="AG254" s="25"/>
      <c r="AQ254" s="25"/>
      <c r="BA254" s="25"/>
      <c r="BK254" s="25"/>
      <c r="BU254" s="25"/>
      <c r="CE254" s="25"/>
      <c r="CO254" s="25"/>
      <c r="CY254" s="25"/>
      <c r="DI254" s="25"/>
      <c r="DS254" s="25"/>
      <c r="EC254" s="25"/>
      <c r="EM254" s="25"/>
      <c r="EW254" s="25"/>
      <c r="EZ254" s="12" t="str">
        <f aca="false">IF(AND(D254&gt;=2026,C254&lt;D254),"▶","")</f>
        <v/>
      </c>
    </row>
    <row r="255" customFormat="false" ht="12.75" hidden="false" customHeight="true" outlineLevel="0" collapsed="false">
      <c r="A255" s="19" t="s">
        <v>366</v>
      </c>
      <c r="B255" s="27" t="s">
        <v>368</v>
      </c>
      <c r="C255" s="21" t="n">
        <v>573</v>
      </c>
      <c r="D255" s="21" t="n">
        <v>634</v>
      </c>
      <c r="E255" s="22" t="str">
        <f aca="false">IF(C255=D255,"событие",IF(D255&gt;=2026,IF(A255="Личности","жив","существует"),"в прошлом"))</f>
        <v>в прошлом</v>
      </c>
      <c r="F255" s="23" t="n">
        <f aca="false">IF(C255=D255,"",D255-C255)</f>
        <v>61</v>
      </c>
      <c r="G255" s="23"/>
      <c r="H255" s="19" t="s">
        <v>139</v>
      </c>
      <c r="I255" s="24"/>
      <c r="M255" s="25"/>
      <c r="W255" s="25"/>
      <c r="AG255" s="25"/>
      <c r="AQ255" s="25"/>
      <c r="BA255" s="25"/>
      <c r="BK255" s="25"/>
      <c r="BU255" s="25"/>
      <c r="CE255" s="25"/>
      <c r="CO255" s="25"/>
      <c r="CY255" s="25"/>
      <c r="DI255" s="25"/>
      <c r="DS255" s="25"/>
      <c r="EC255" s="25"/>
      <c r="EM255" s="25"/>
      <c r="EW255" s="25"/>
      <c r="EZ255" s="32" t="str">
        <f aca="false">IF(AND(D255&gt;=2026,C255&lt;D255),"▶","")</f>
        <v/>
      </c>
    </row>
    <row r="256" customFormat="false" ht="12.75" hidden="false" customHeight="true" outlineLevel="0" collapsed="false">
      <c r="A256" s="19" t="s">
        <v>366</v>
      </c>
      <c r="B256" s="27" t="s">
        <v>369</v>
      </c>
      <c r="C256" s="21" t="n">
        <v>576</v>
      </c>
      <c r="D256" s="21" t="n">
        <v>656</v>
      </c>
      <c r="E256" s="22" t="str">
        <f aca="false">IF(C256=D256,"событие",IF(D256&gt;=2026,IF(A256="Личности","жив","существует"),"в прошлом"))</f>
        <v>в прошлом</v>
      </c>
      <c r="F256" s="23" t="n">
        <f aca="false">IF(C256=D256,"",D256-C256)</f>
        <v>80</v>
      </c>
      <c r="G256" s="23"/>
      <c r="H256" s="19" t="s">
        <v>139</v>
      </c>
      <c r="I256" s="24"/>
      <c r="M256" s="25"/>
      <c r="W256" s="25"/>
      <c r="AG256" s="25"/>
      <c r="AQ256" s="25"/>
      <c r="BA256" s="25"/>
      <c r="BK256" s="25"/>
      <c r="BU256" s="25"/>
      <c r="CE256" s="25"/>
      <c r="CO256" s="25"/>
      <c r="CY256" s="25"/>
      <c r="DI256" s="25"/>
      <c r="DS256" s="25"/>
      <c r="EC256" s="25"/>
      <c r="EM256" s="25"/>
      <c r="EW256" s="25"/>
      <c r="EZ256" s="32" t="str">
        <f aca="false">IF(AND(D256&gt;=2026,C256&lt;D256),"▶","")</f>
        <v/>
      </c>
    </row>
    <row r="257" customFormat="false" ht="12.75" hidden="false" customHeight="true" outlineLevel="0" collapsed="false">
      <c r="A257" s="19" t="s">
        <v>366</v>
      </c>
      <c r="B257" s="27" t="s">
        <v>370</v>
      </c>
      <c r="C257" s="21" t="n">
        <v>584</v>
      </c>
      <c r="D257" s="21" t="n">
        <v>644</v>
      </c>
      <c r="E257" s="22" t="str">
        <f aca="false">IF(C257=D257,"событие",IF(D257&gt;=2026,IF(A257="Личности","жив","существует"),"в прошлом"))</f>
        <v>в прошлом</v>
      </c>
      <c r="F257" s="23" t="n">
        <f aca="false">IF(C257=D257,"",D257-C257)</f>
        <v>60</v>
      </c>
      <c r="G257" s="23"/>
      <c r="H257" s="19" t="s">
        <v>139</v>
      </c>
      <c r="I257" s="24"/>
      <c r="M257" s="25"/>
      <c r="W257" s="25"/>
      <c r="AG257" s="25"/>
      <c r="AQ257" s="25"/>
      <c r="BA257" s="25"/>
      <c r="BK257" s="25"/>
      <c r="BU257" s="25"/>
      <c r="CE257" s="25"/>
      <c r="CO257" s="25"/>
      <c r="CY257" s="25"/>
      <c r="DI257" s="25"/>
      <c r="DS257" s="25"/>
      <c r="EC257" s="25"/>
      <c r="EM257" s="25"/>
      <c r="EW257" s="25"/>
      <c r="EZ257" s="32" t="str">
        <f aca="false">IF(AND(D257&gt;=2026,C257&lt;D257),"▶","")</f>
        <v/>
      </c>
    </row>
    <row r="258" customFormat="false" ht="12.75" hidden="false" customHeight="true" outlineLevel="0" collapsed="false">
      <c r="A258" s="19" t="s">
        <v>366</v>
      </c>
      <c r="B258" s="27" t="s">
        <v>371</v>
      </c>
      <c r="C258" s="21" t="n">
        <v>600</v>
      </c>
      <c r="D258" s="21" t="n">
        <v>661</v>
      </c>
      <c r="E258" s="22" t="str">
        <f aca="false">IF(C258=D258,"событие",IF(D258&gt;=2026,IF(A258="Личности","жив","существует"),"в прошлом"))</f>
        <v>в прошлом</v>
      </c>
      <c r="F258" s="23" t="n">
        <f aca="false">IF(C258=D258,"",D258-C258)</f>
        <v>61</v>
      </c>
      <c r="G258" s="23"/>
      <c r="H258" s="19" t="s">
        <v>150</v>
      </c>
      <c r="I258" s="24"/>
      <c r="M258" s="25"/>
      <c r="W258" s="25"/>
      <c r="AG258" s="25"/>
      <c r="AQ258" s="25"/>
      <c r="BA258" s="25"/>
      <c r="BK258" s="25"/>
      <c r="BU258" s="25"/>
      <c r="CE258" s="25"/>
      <c r="CO258" s="25"/>
      <c r="CY258" s="25"/>
      <c r="DI258" s="25"/>
      <c r="DS258" s="25"/>
      <c r="EC258" s="25"/>
      <c r="EM258" s="25"/>
      <c r="EW258" s="25"/>
      <c r="EZ258" s="35" t="str">
        <f aca="false">IF(AND(D258&gt;=2026,C258&lt;D258),"▶","")</f>
        <v/>
      </c>
    </row>
    <row r="259" customFormat="false" ht="12.75" hidden="false" customHeight="true" outlineLevel="0" collapsed="false">
      <c r="A259" s="19" t="s">
        <v>366</v>
      </c>
      <c r="B259" s="27" t="s">
        <v>372</v>
      </c>
      <c r="C259" s="21" t="n">
        <v>602</v>
      </c>
      <c r="D259" s="21" t="n">
        <v>680</v>
      </c>
      <c r="E259" s="22" t="str">
        <f aca="false">IF(C259=D259,"событие",IF(D259&gt;=2026,IF(A259="Личности","жив","существует"),"в прошлом"))</f>
        <v>в прошлом</v>
      </c>
      <c r="F259" s="23" t="n">
        <f aca="false">IF(C259=D259,"",D259-C259)</f>
        <v>78</v>
      </c>
      <c r="G259" s="23"/>
      <c r="H259" s="19" t="s">
        <v>139</v>
      </c>
      <c r="I259" s="24"/>
      <c r="M259" s="25"/>
      <c r="W259" s="25"/>
      <c r="AG259" s="25"/>
      <c r="AQ259" s="25"/>
      <c r="BA259" s="25"/>
      <c r="BK259" s="25"/>
      <c r="BU259" s="25"/>
      <c r="CE259" s="25"/>
      <c r="CO259" s="25"/>
      <c r="CY259" s="25"/>
      <c r="DI259" s="25"/>
      <c r="DS259" s="25"/>
      <c r="EC259" s="25"/>
      <c r="EM259" s="25"/>
      <c r="EW259" s="25"/>
      <c r="EZ259" s="32" t="str">
        <f aca="false">IF(AND(D259&gt;=2026,C259&lt;D259),"▶","")</f>
        <v/>
      </c>
    </row>
    <row r="260" customFormat="false" ht="12.75" hidden="false" customHeight="true" outlineLevel="0" collapsed="false">
      <c r="A260" s="19" t="s">
        <v>366</v>
      </c>
      <c r="B260" s="27" t="s">
        <v>373</v>
      </c>
      <c r="C260" s="21" t="n">
        <v>614</v>
      </c>
      <c r="D260" s="21" t="n">
        <v>678</v>
      </c>
      <c r="E260" s="22" t="str">
        <f aca="false">IF(C260=D260,"событие",IF(D260&gt;=2026,IF(A260="Личности","жив","существует"),"в прошлом"))</f>
        <v>в прошлом</v>
      </c>
      <c r="F260" s="23" t="n">
        <f aca="false">IF(C260=D260,"",D260-C260)</f>
        <v>64</v>
      </c>
      <c r="G260" s="23"/>
      <c r="H260" s="19" t="s">
        <v>139</v>
      </c>
      <c r="I260" s="24"/>
      <c r="M260" s="25"/>
      <c r="W260" s="25"/>
      <c r="AG260" s="25"/>
      <c r="AQ260" s="25"/>
      <c r="BA260" s="25"/>
      <c r="BK260" s="25"/>
      <c r="BU260" s="25"/>
      <c r="CE260" s="25"/>
      <c r="CO260" s="25"/>
      <c r="CY260" s="25"/>
      <c r="DI260" s="25"/>
      <c r="DS260" s="25"/>
      <c r="EC260" s="25"/>
      <c r="EM260" s="25"/>
      <c r="EW260" s="25"/>
      <c r="EZ260" s="32" t="str">
        <f aca="false">IF(AND(D260&gt;=2026,C260&lt;D260),"▶","")</f>
        <v/>
      </c>
    </row>
    <row r="261" customFormat="false" ht="12.75" hidden="false" customHeight="true" outlineLevel="0" collapsed="false">
      <c r="A261" s="19" t="s">
        <v>366</v>
      </c>
      <c r="B261" s="27" t="s">
        <v>374</v>
      </c>
      <c r="C261" s="21" t="n">
        <v>626</v>
      </c>
      <c r="D261" s="21" t="n">
        <v>680</v>
      </c>
      <c r="E261" s="22" t="str">
        <f aca="false">IF(C261=D261,"событие",IF(D261&gt;=2026,IF(A261="Личности","жив","существует"),"в прошлом"))</f>
        <v>в прошлом</v>
      </c>
      <c r="F261" s="23" t="n">
        <f aca="false">IF(C261=D261,"",D261-C261)</f>
        <v>54</v>
      </c>
      <c r="G261" s="23"/>
      <c r="H261" s="19" t="s">
        <v>150</v>
      </c>
      <c r="I261" s="24"/>
      <c r="M261" s="25"/>
      <c r="W261" s="25"/>
      <c r="AG261" s="25"/>
      <c r="AQ261" s="25"/>
      <c r="BA261" s="25"/>
      <c r="BK261" s="25"/>
      <c r="BU261" s="25"/>
      <c r="CE261" s="25"/>
      <c r="CO261" s="25"/>
      <c r="CY261" s="25"/>
      <c r="DI261" s="25"/>
      <c r="DS261" s="25"/>
      <c r="EC261" s="25"/>
      <c r="EM261" s="25"/>
      <c r="EW261" s="25"/>
      <c r="EZ261" s="35" t="str">
        <f aca="false">IF(AND(D261&gt;=2026,C261&lt;D261),"▶","")</f>
        <v/>
      </c>
    </row>
    <row r="262" customFormat="false" ht="12.75" hidden="false" customHeight="true" outlineLevel="0" collapsed="false">
      <c r="A262" s="19" t="s">
        <v>366</v>
      </c>
      <c r="B262" s="27" t="s">
        <v>375</v>
      </c>
      <c r="C262" s="21" t="n">
        <v>642</v>
      </c>
      <c r="D262" s="21" t="n">
        <v>728</v>
      </c>
      <c r="E262" s="22" t="str">
        <f aca="false">IF(C262=D262,"событие",IF(D262&gt;=2026,IF(A262="Личности","жив","существует"),"в прошлом"))</f>
        <v>в прошлом</v>
      </c>
      <c r="F262" s="23" t="n">
        <f aca="false">IF(C262=D262,"",D262-C262)</f>
        <v>86</v>
      </c>
      <c r="G262" s="23"/>
      <c r="H262" s="19" t="s">
        <v>291</v>
      </c>
      <c r="I262" s="24"/>
      <c r="M262" s="25"/>
      <c r="W262" s="25"/>
      <c r="AG262" s="25"/>
      <c r="AQ262" s="25"/>
      <c r="BA262" s="25"/>
      <c r="BK262" s="25"/>
      <c r="BU262" s="25"/>
      <c r="CE262" s="25"/>
      <c r="CO262" s="25"/>
      <c r="CY262" s="25"/>
      <c r="DI262" s="25"/>
      <c r="DS262" s="25"/>
      <c r="EC262" s="25"/>
      <c r="EM262" s="25"/>
      <c r="EW262" s="25"/>
      <c r="EZ262" s="59" t="str">
        <f aca="false">IF(AND(D262&gt;=2026,C262&lt;D262),"▶","")</f>
        <v/>
      </c>
    </row>
    <row r="263" customFormat="false" ht="12.75" hidden="false" customHeight="true" outlineLevel="0" collapsed="false">
      <c r="A263" s="19" t="s">
        <v>366</v>
      </c>
      <c r="B263" s="27" t="s">
        <v>376</v>
      </c>
      <c r="C263" s="21" t="n">
        <v>699</v>
      </c>
      <c r="D263" s="21" t="n">
        <v>767</v>
      </c>
      <c r="E263" s="22" t="str">
        <f aca="false">IF(C263=D263,"событие",IF(D263&gt;=2026,IF(A263="Личности","жив","существует"),"в прошлом"))</f>
        <v>в прошлом</v>
      </c>
      <c r="F263" s="23" t="n">
        <f aca="false">IF(C263=D263,"",D263-C263)</f>
        <v>68</v>
      </c>
      <c r="G263" s="23"/>
      <c r="H263" s="19" t="s">
        <v>139</v>
      </c>
      <c r="I263" s="24"/>
      <c r="M263" s="25"/>
      <c r="W263" s="25"/>
      <c r="AG263" s="25"/>
      <c r="AQ263" s="25"/>
      <c r="BA263" s="25"/>
      <c r="BK263" s="25"/>
      <c r="BU263" s="25"/>
      <c r="CE263" s="25"/>
      <c r="CO263" s="25"/>
      <c r="CY263" s="25"/>
      <c r="DI263" s="25"/>
      <c r="DS263" s="25"/>
      <c r="EC263" s="25"/>
      <c r="EM263" s="25"/>
      <c r="EW263" s="25"/>
      <c r="EZ263" s="32" t="str">
        <f aca="false">IF(AND(D263&gt;=2026,C263&lt;D263),"▶","")</f>
        <v/>
      </c>
    </row>
    <row r="264" customFormat="false" ht="12.75" hidden="false" customHeight="true" outlineLevel="0" collapsed="false">
      <c r="A264" s="19" t="s">
        <v>366</v>
      </c>
      <c r="B264" s="27" t="s">
        <v>377</v>
      </c>
      <c r="C264" s="21" t="n">
        <v>700</v>
      </c>
      <c r="D264" s="21" t="n">
        <v>748</v>
      </c>
      <c r="E264" s="22" t="str">
        <f aca="false">IF(C264=D264,"событие",IF(D264&gt;=2026,IF(A264="Личности","жив","существует"),"в прошлом"))</f>
        <v>в прошлом</v>
      </c>
      <c r="F264" s="23" t="n">
        <f aca="false">IF(C264=D264,"",D264-C264)</f>
        <v>48</v>
      </c>
      <c r="G264" s="23"/>
      <c r="H264" s="19" t="s">
        <v>274</v>
      </c>
      <c r="I264" s="24"/>
      <c r="M264" s="25"/>
      <c r="W264" s="25"/>
      <c r="AG264" s="25"/>
      <c r="AQ264" s="25"/>
      <c r="BA264" s="25"/>
      <c r="BK264" s="25"/>
      <c r="BU264" s="25"/>
      <c r="CE264" s="25"/>
      <c r="CO264" s="25"/>
      <c r="CY264" s="25"/>
      <c r="DI264" s="25"/>
      <c r="DS264" s="25"/>
      <c r="EC264" s="25"/>
      <c r="EM264" s="25"/>
      <c r="EW264" s="25"/>
      <c r="EZ264" s="54" t="str">
        <f aca="false">IF(AND(D264&gt;=2026,C264&lt;D264),"▶","")</f>
        <v/>
      </c>
    </row>
    <row r="265" customFormat="false" ht="12.75" hidden="false" customHeight="true" outlineLevel="0" collapsed="false">
      <c r="A265" s="19" t="s">
        <v>366</v>
      </c>
      <c r="B265" s="27" t="s">
        <v>378</v>
      </c>
      <c r="C265" s="21" t="n">
        <v>702</v>
      </c>
      <c r="D265" s="21" t="n">
        <v>765</v>
      </c>
      <c r="E265" s="22" t="str">
        <f aca="false">IF(C265=D265,"событие",IF(D265&gt;=2026,IF(A265="Личности","жив","существует"),"в прошлом"))</f>
        <v>в прошлом</v>
      </c>
      <c r="F265" s="23" t="n">
        <f aca="false">IF(C265=D265,"",D265-C265)</f>
        <v>63</v>
      </c>
      <c r="G265" s="23"/>
      <c r="H265" s="19" t="s">
        <v>150</v>
      </c>
      <c r="I265" s="24"/>
      <c r="M265" s="25"/>
      <c r="W265" s="25"/>
      <c r="AG265" s="25"/>
      <c r="AQ265" s="25"/>
      <c r="BA265" s="25"/>
      <c r="BK265" s="25"/>
      <c r="BU265" s="25"/>
      <c r="CE265" s="25"/>
      <c r="CO265" s="25"/>
      <c r="CY265" s="25"/>
      <c r="DI265" s="25"/>
      <c r="DS265" s="25"/>
      <c r="EC265" s="25"/>
      <c r="EM265" s="25"/>
      <c r="EW265" s="25"/>
      <c r="EZ265" s="35" t="str">
        <f aca="false">IF(AND(D265&gt;=2026,C265&lt;D265),"▶","")</f>
        <v/>
      </c>
    </row>
    <row r="266" customFormat="false" ht="12.75" hidden="false" customHeight="true" outlineLevel="0" collapsed="false">
      <c r="A266" s="19" t="s">
        <v>366</v>
      </c>
      <c r="B266" s="27" t="s">
        <v>379</v>
      </c>
      <c r="C266" s="21" t="n">
        <v>711</v>
      </c>
      <c r="D266" s="21" t="n">
        <v>795</v>
      </c>
      <c r="E266" s="22" t="str">
        <f aca="false">IF(C266=D266,"событие",IF(D266&gt;=2026,IF(A266="Личности","жив","существует"),"в прошлом"))</f>
        <v>в прошлом</v>
      </c>
      <c r="F266" s="23" t="n">
        <f aca="false">IF(C266=D266,"",D266-C266)</f>
        <v>84</v>
      </c>
      <c r="G266" s="23"/>
      <c r="H266" s="19" t="s">
        <v>139</v>
      </c>
      <c r="I266" s="24"/>
      <c r="M266" s="25"/>
      <c r="W266" s="25"/>
      <c r="AG266" s="25"/>
      <c r="AQ266" s="25"/>
      <c r="BA266" s="25"/>
      <c r="BK266" s="25"/>
      <c r="BU266" s="25"/>
      <c r="CE266" s="25"/>
      <c r="CO266" s="25"/>
      <c r="CY266" s="25"/>
      <c r="DI266" s="25"/>
      <c r="DS266" s="25"/>
      <c r="EC266" s="25"/>
      <c r="EM266" s="25"/>
      <c r="EW266" s="25"/>
      <c r="EZ266" s="32" t="str">
        <f aca="false">IF(AND(D266&gt;=2026,C266&lt;D266),"▶","")</f>
        <v/>
      </c>
    </row>
    <row r="267" customFormat="false" ht="12.75" hidden="false" customHeight="true" outlineLevel="0" collapsed="false">
      <c r="A267" s="19" t="s">
        <v>366</v>
      </c>
      <c r="B267" s="27" t="s">
        <v>380</v>
      </c>
      <c r="C267" s="21" t="n">
        <v>714</v>
      </c>
      <c r="D267" s="21" t="n">
        <v>801</v>
      </c>
      <c r="E267" s="22" t="str">
        <f aca="false">IF(C267=D267,"событие",IF(D267&gt;=2026,IF(A267="Личности","жив","существует"),"в прошлом"))</f>
        <v>в прошлом</v>
      </c>
      <c r="F267" s="23" t="n">
        <f aca="false">IF(C267=D267,"",D267-C267)</f>
        <v>87</v>
      </c>
      <c r="G267" s="23"/>
      <c r="H267" s="19" t="s">
        <v>291</v>
      </c>
      <c r="I267" s="24"/>
      <c r="M267" s="25"/>
      <c r="W267" s="25"/>
      <c r="AG267" s="25"/>
      <c r="AQ267" s="25"/>
      <c r="BA267" s="25"/>
      <c r="BK267" s="25"/>
      <c r="BU267" s="25"/>
      <c r="CE267" s="25"/>
      <c r="CO267" s="25"/>
      <c r="CY267" s="25"/>
      <c r="DI267" s="25"/>
      <c r="DS267" s="25"/>
      <c r="EC267" s="25"/>
      <c r="EM267" s="25"/>
      <c r="EW267" s="25"/>
      <c r="EZ267" s="59" t="str">
        <f aca="false">IF(AND(D267&gt;=2026,C267&lt;D267),"▶","")</f>
        <v/>
      </c>
    </row>
    <row r="268" customFormat="false" ht="12.75" hidden="false" customHeight="true" outlineLevel="0" collapsed="false">
      <c r="A268" s="19" t="s">
        <v>366</v>
      </c>
      <c r="B268" s="27" t="s">
        <v>381</v>
      </c>
      <c r="C268" s="21" t="n">
        <v>763</v>
      </c>
      <c r="D268" s="21" t="n">
        <v>809</v>
      </c>
      <c r="E268" s="22" t="str">
        <f aca="false">IF(C268=D268,"событие",IF(D268&gt;=2026,IF(A268="Личности","жив","существует"),"в прошлом"))</f>
        <v>в прошлом</v>
      </c>
      <c r="F268" s="23" t="n">
        <f aca="false">IF(C268=D268,"",D268-C268)</f>
        <v>46</v>
      </c>
      <c r="G268" s="23"/>
      <c r="H268" s="19" t="s">
        <v>139</v>
      </c>
      <c r="I268" s="24"/>
      <c r="M268" s="25"/>
      <c r="W268" s="25"/>
      <c r="AG268" s="25"/>
      <c r="AQ268" s="25"/>
      <c r="BA268" s="25"/>
      <c r="BK268" s="25"/>
      <c r="BU268" s="25"/>
      <c r="CE268" s="25"/>
      <c r="CO268" s="25"/>
      <c r="CY268" s="25"/>
      <c r="DI268" s="25"/>
      <c r="DS268" s="25"/>
      <c r="EC268" s="25"/>
      <c r="EM268" s="25"/>
      <c r="EW268" s="25"/>
      <c r="EZ268" s="32" t="str">
        <f aca="false">IF(AND(D268&gt;=2026,C268&lt;D268),"▶","")</f>
        <v/>
      </c>
    </row>
    <row r="269" customFormat="false" ht="12.75" hidden="false" customHeight="true" outlineLevel="0" collapsed="false">
      <c r="A269" s="19" t="s">
        <v>366</v>
      </c>
      <c r="B269" s="27" t="s">
        <v>382</v>
      </c>
      <c r="C269" s="21" t="n">
        <v>767</v>
      </c>
      <c r="D269" s="21" t="n">
        <v>820</v>
      </c>
      <c r="E269" s="22" t="str">
        <f aca="false">IF(C269=D269,"событие",IF(D269&gt;=2026,IF(A269="Личности","жив","существует"),"в прошлом"))</f>
        <v>в прошлом</v>
      </c>
      <c r="F269" s="23" t="n">
        <f aca="false">IF(C269=D269,"",D269-C269)</f>
        <v>53</v>
      </c>
      <c r="G269" s="23"/>
      <c r="H269" s="19" t="s">
        <v>139</v>
      </c>
      <c r="I269" s="24"/>
      <c r="M269" s="25"/>
      <c r="W269" s="25"/>
      <c r="AG269" s="25"/>
      <c r="AQ269" s="25"/>
      <c r="BA269" s="25"/>
      <c r="BK269" s="25"/>
      <c r="BU269" s="25"/>
      <c r="CE269" s="25"/>
      <c r="CO269" s="25"/>
      <c r="CY269" s="25"/>
      <c r="DI269" s="25"/>
      <c r="DS269" s="25"/>
      <c r="EC269" s="25"/>
      <c r="EM269" s="25"/>
      <c r="EW269" s="25"/>
      <c r="EZ269" s="32" t="str">
        <f aca="false">IF(AND(D269&gt;=2026,C269&lt;D269),"▶","")</f>
        <v/>
      </c>
    </row>
    <row r="270" customFormat="false" ht="12.75" hidden="false" customHeight="true" outlineLevel="0" collapsed="false">
      <c r="A270" s="19" t="s">
        <v>366</v>
      </c>
      <c r="B270" s="27" t="s">
        <v>383</v>
      </c>
      <c r="C270" s="21" t="n">
        <v>780</v>
      </c>
      <c r="D270" s="21" t="n">
        <v>850</v>
      </c>
      <c r="E270" s="22" t="str">
        <f aca="false">IF(C270=D270,"событие",IF(D270&gt;=2026,IF(A270="Личности","жив","существует"),"в прошлом"))</f>
        <v>в прошлом</v>
      </c>
      <c r="F270" s="23" t="n">
        <f aca="false">IF(C270=D270,"",D270-C270)</f>
        <v>70</v>
      </c>
      <c r="G270" s="23"/>
      <c r="H270" s="19" t="s">
        <v>274</v>
      </c>
      <c r="I270" s="24"/>
      <c r="M270" s="25"/>
      <c r="W270" s="25"/>
      <c r="AG270" s="25"/>
      <c r="AQ270" s="25"/>
      <c r="BA270" s="25"/>
      <c r="BK270" s="25"/>
      <c r="BU270" s="25"/>
      <c r="CE270" s="25"/>
      <c r="CO270" s="25"/>
      <c r="CY270" s="25"/>
      <c r="DI270" s="25"/>
      <c r="DS270" s="25"/>
      <c r="EC270" s="25"/>
      <c r="EM270" s="25"/>
      <c r="EW270" s="25"/>
      <c r="EZ270" s="54" t="str">
        <f aca="false">IF(AND(D270&gt;=2026,C270&lt;D270),"▶","")</f>
        <v/>
      </c>
    </row>
    <row r="271" customFormat="false" ht="12.75" hidden="false" customHeight="true" outlineLevel="0" collapsed="false">
      <c r="A271" s="19" t="s">
        <v>366</v>
      </c>
      <c r="B271" s="27" t="s">
        <v>384</v>
      </c>
      <c r="C271" s="21" t="n">
        <v>780</v>
      </c>
      <c r="D271" s="21" t="n">
        <v>855</v>
      </c>
      <c r="E271" s="22" t="str">
        <f aca="false">IF(C271=D271,"событие",IF(D271&gt;=2026,IF(A271="Личности","жив","существует"),"в прошлом"))</f>
        <v>в прошлом</v>
      </c>
      <c r="F271" s="23" t="n">
        <f aca="false">IF(C271=D271,"",D271-C271)</f>
        <v>75</v>
      </c>
      <c r="G271" s="23"/>
      <c r="H271" s="19" t="s">
        <v>139</v>
      </c>
      <c r="I271" s="24"/>
      <c r="M271" s="25"/>
      <c r="W271" s="25"/>
      <c r="AG271" s="25"/>
      <c r="AQ271" s="25"/>
      <c r="BA271" s="25"/>
      <c r="BK271" s="25"/>
      <c r="BU271" s="25"/>
      <c r="CE271" s="25"/>
      <c r="CO271" s="25"/>
      <c r="CY271" s="25"/>
      <c r="DI271" s="25"/>
      <c r="DS271" s="25"/>
      <c r="EC271" s="25"/>
      <c r="EM271" s="25"/>
      <c r="EW271" s="25"/>
      <c r="EZ271" s="32" t="str">
        <f aca="false">IF(AND(D271&gt;=2026,C271&lt;D271),"▶","")</f>
        <v/>
      </c>
    </row>
    <row r="272" customFormat="false" ht="12.75" hidden="false" customHeight="true" outlineLevel="0" collapsed="false">
      <c r="A272" s="19" t="s">
        <v>366</v>
      </c>
      <c r="B272" s="27" t="s">
        <v>385</v>
      </c>
      <c r="C272" s="21" t="n">
        <v>801</v>
      </c>
      <c r="D272" s="21" t="n">
        <v>873</v>
      </c>
      <c r="E272" s="22" t="str">
        <f aca="false">IF(C272=D272,"событие",IF(D272&gt;=2026,IF(A272="Личности","жив","существует"),"в прошлом"))</f>
        <v>в прошлом</v>
      </c>
      <c r="F272" s="23" t="n">
        <f aca="false">IF(C272=D272,"",D272-C272)</f>
        <v>72</v>
      </c>
      <c r="G272" s="23"/>
      <c r="H272" s="19" t="s">
        <v>274</v>
      </c>
      <c r="I272" s="24"/>
      <c r="M272" s="25"/>
      <c r="W272" s="25"/>
      <c r="AG272" s="25"/>
      <c r="AQ272" s="25"/>
      <c r="BA272" s="25"/>
      <c r="BK272" s="25"/>
      <c r="BU272" s="25"/>
      <c r="CE272" s="25"/>
      <c r="CO272" s="25"/>
      <c r="CY272" s="25"/>
      <c r="DI272" s="25"/>
      <c r="DS272" s="25"/>
      <c r="EC272" s="25"/>
      <c r="EM272" s="25"/>
      <c r="EW272" s="25"/>
      <c r="EZ272" s="54" t="str">
        <f aca="false">IF(AND(D272&gt;=2026,C272&lt;D272),"▶","")</f>
        <v/>
      </c>
    </row>
    <row r="273" customFormat="false" ht="12.75" hidden="false" customHeight="true" outlineLevel="0" collapsed="false">
      <c r="A273" s="19" t="s">
        <v>366</v>
      </c>
      <c r="B273" s="27" t="s">
        <v>386</v>
      </c>
      <c r="C273" s="21" t="n">
        <v>810</v>
      </c>
      <c r="D273" s="21" t="n">
        <v>870</v>
      </c>
      <c r="E273" s="22" t="str">
        <f aca="false">IF(C273=D273,"событие",IF(D273&gt;=2026,IF(A273="Личности","жив","существует"),"в прошлом"))</f>
        <v>в прошлом</v>
      </c>
      <c r="F273" s="23" t="n">
        <f aca="false">IF(C273=D273,"",D273-C273)</f>
        <v>60</v>
      </c>
      <c r="G273" s="23"/>
      <c r="H273" s="19" t="s">
        <v>139</v>
      </c>
      <c r="I273" s="24"/>
      <c r="M273" s="25"/>
      <c r="W273" s="25"/>
      <c r="AG273" s="25"/>
      <c r="AQ273" s="25"/>
      <c r="BA273" s="25"/>
      <c r="BK273" s="25"/>
      <c r="BU273" s="25"/>
      <c r="CE273" s="25"/>
      <c r="CO273" s="25"/>
      <c r="CY273" s="25"/>
      <c r="DI273" s="25"/>
      <c r="DS273" s="25"/>
      <c r="EC273" s="25"/>
      <c r="EM273" s="25"/>
      <c r="EW273" s="25"/>
      <c r="EZ273" s="32" t="str">
        <f aca="false">IF(AND(D273&gt;=2026,C273&lt;D273),"▶","")</f>
        <v/>
      </c>
    </row>
    <row r="274" customFormat="false" ht="12.75" hidden="false" customHeight="true" outlineLevel="0" collapsed="false">
      <c r="A274" s="19" t="s">
        <v>366</v>
      </c>
      <c r="B274" s="27" t="s">
        <v>387</v>
      </c>
      <c r="C274" s="21" t="n">
        <v>839</v>
      </c>
      <c r="D274" s="21" t="n">
        <v>923</v>
      </c>
      <c r="E274" s="22" t="str">
        <f aca="false">IF(C274=D274,"событие",IF(D274&gt;=2026,IF(A274="Личности","жив","существует"),"в прошлом"))</f>
        <v>в прошлом</v>
      </c>
      <c r="F274" s="23" t="n">
        <f aca="false">IF(C274=D274,"",D274-C274)</f>
        <v>84</v>
      </c>
      <c r="G274" s="23"/>
      <c r="H274" s="19" t="s">
        <v>139</v>
      </c>
      <c r="I274" s="24"/>
      <c r="M274" s="25"/>
      <c r="W274" s="25"/>
      <c r="AG274" s="25"/>
      <c r="AQ274" s="25"/>
      <c r="BA274" s="25"/>
      <c r="BK274" s="25"/>
      <c r="BU274" s="25"/>
      <c r="CE274" s="25"/>
      <c r="CO274" s="25"/>
      <c r="CY274" s="25"/>
      <c r="DI274" s="25"/>
      <c r="DS274" s="25"/>
      <c r="EC274" s="25"/>
      <c r="EM274" s="25"/>
      <c r="EW274" s="25"/>
      <c r="EZ274" s="32" t="str">
        <f aca="false">IF(AND(D274&gt;=2026,C274&lt;D274),"▶","")</f>
        <v/>
      </c>
    </row>
    <row r="275" customFormat="false" ht="12.75" hidden="false" customHeight="true" outlineLevel="0" collapsed="false">
      <c r="A275" s="19" t="s">
        <v>366</v>
      </c>
      <c r="B275" s="27" t="s">
        <v>388</v>
      </c>
      <c r="C275" s="21" t="n">
        <v>853</v>
      </c>
      <c r="D275" s="21" t="n">
        <v>944</v>
      </c>
      <c r="E275" s="22" t="str">
        <f aca="false">IF(C275=D275,"событие",IF(D275&gt;=2026,IF(A275="Личности","жив","существует"),"в прошлом"))</f>
        <v>в прошлом</v>
      </c>
      <c r="F275" s="23" t="n">
        <f aca="false">IF(C275=D275,"",D275-C275)</f>
        <v>91</v>
      </c>
      <c r="G275" s="23"/>
      <c r="H275" s="19" t="s">
        <v>139</v>
      </c>
      <c r="I275" s="24"/>
      <c r="M275" s="25"/>
      <c r="W275" s="25"/>
      <c r="AG275" s="25"/>
      <c r="AQ275" s="25"/>
      <c r="BA275" s="25"/>
      <c r="BK275" s="25"/>
      <c r="BU275" s="25"/>
      <c r="CE275" s="25"/>
      <c r="CO275" s="25"/>
      <c r="CY275" s="25"/>
      <c r="DI275" s="25"/>
      <c r="DS275" s="25"/>
      <c r="EC275" s="25"/>
      <c r="EM275" s="25"/>
      <c r="EW275" s="25"/>
      <c r="EZ275" s="32" t="str">
        <f aca="false">IF(AND(D275&gt;=2026,C275&lt;D275),"▶","")</f>
        <v/>
      </c>
    </row>
    <row r="276" customFormat="false" ht="12.75" hidden="false" customHeight="true" outlineLevel="0" collapsed="false">
      <c r="A276" s="19" t="s">
        <v>366</v>
      </c>
      <c r="B276" s="27" t="s">
        <v>389</v>
      </c>
      <c r="C276" s="21" t="n">
        <v>858</v>
      </c>
      <c r="D276" s="21" t="n">
        <v>922</v>
      </c>
      <c r="E276" s="22" t="str">
        <f aca="false">IF(C276=D276,"событие",IF(D276&gt;=2026,IF(A276="Личности","жив","существует"),"в прошлом"))</f>
        <v>в прошлом</v>
      </c>
      <c r="F276" s="23" t="n">
        <f aca="false">IF(C276=D276,"",D276-C276)</f>
        <v>64</v>
      </c>
      <c r="G276" s="23"/>
      <c r="H276" s="19" t="s">
        <v>291</v>
      </c>
      <c r="I276" s="24"/>
      <c r="M276" s="25"/>
      <c r="W276" s="25"/>
      <c r="AG276" s="25"/>
      <c r="AQ276" s="25"/>
      <c r="BA276" s="25"/>
      <c r="BK276" s="25"/>
      <c r="BU276" s="25"/>
      <c r="CE276" s="25"/>
      <c r="CO276" s="25"/>
      <c r="CY276" s="25"/>
      <c r="DI276" s="25"/>
      <c r="DS276" s="25"/>
      <c r="EC276" s="25"/>
      <c r="EM276" s="25"/>
      <c r="EW276" s="25"/>
      <c r="EZ276" s="59" t="str">
        <f aca="false">IF(AND(D276&gt;=2026,C276&lt;D276),"▶","")</f>
        <v/>
      </c>
    </row>
    <row r="277" customFormat="false" ht="12.75" hidden="false" customHeight="true" outlineLevel="0" collapsed="false">
      <c r="A277" s="19" t="s">
        <v>366</v>
      </c>
      <c r="B277" s="27" t="s">
        <v>390</v>
      </c>
      <c r="C277" s="21" t="n">
        <v>872</v>
      </c>
      <c r="D277" s="21" t="n">
        <v>950</v>
      </c>
      <c r="E277" s="22" t="str">
        <f aca="false">IF(C277=D277,"событие",IF(D277&gt;=2026,IF(A277="Личности","жив","существует"),"в прошлом"))</f>
        <v>в прошлом</v>
      </c>
      <c r="F277" s="23" t="n">
        <f aca="false">IF(C277=D277,"",D277-C277)</f>
        <v>78</v>
      </c>
      <c r="G277" s="23"/>
      <c r="H277" s="19" t="s">
        <v>274</v>
      </c>
      <c r="I277" s="24"/>
      <c r="M277" s="25"/>
      <c r="W277" s="25"/>
      <c r="AG277" s="25"/>
      <c r="AQ277" s="25"/>
      <c r="BA277" s="25"/>
      <c r="BK277" s="25"/>
      <c r="BU277" s="25"/>
      <c r="CE277" s="25"/>
      <c r="CO277" s="25"/>
      <c r="CY277" s="25"/>
      <c r="DI277" s="25"/>
      <c r="DS277" s="25"/>
      <c r="EC277" s="25"/>
      <c r="EM277" s="25"/>
      <c r="EW277" s="25"/>
      <c r="EZ277" s="54" t="str">
        <f aca="false">IF(AND(D277&gt;=2026,C277&lt;D277),"▶","")</f>
        <v/>
      </c>
    </row>
    <row r="278" customFormat="false" ht="12.75" hidden="false" customHeight="true" outlineLevel="0" collapsed="false">
      <c r="A278" s="19" t="s">
        <v>366</v>
      </c>
      <c r="B278" s="27" t="s">
        <v>391</v>
      </c>
      <c r="C278" s="21" t="n">
        <v>874</v>
      </c>
      <c r="D278" s="21" t="n">
        <v>936</v>
      </c>
      <c r="E278" s="22" t="str">
        <f aca="false">IF(C278=D278,"событие",IF(D278&gt;=2026,IF(A278="Личности","жив","существует"),"в прошлом"))</f>
        <v>в прошлом</v>
      </c>
      <c r="F278" s="23" t="n">
        <f aca="false">IF(C278=D278,"",D278-C278)</f>
        <v>62</v>
      </c>
      <c r="G278" s="23"/>
      <c r="H278" s="19" t="s">
        <v>139</v>
      </c>
      <c r="I278" s="24"/>
      <c r="M278" s="25"/>
      <c r="W278" s="25"/>
      <c r="AG278" s="25"/>
      <c r="AQ278" s="25"/>
      <c r="BA278" s="25"/>
      <c r="BK278" s="25"/>
      <c r="BU278" s="25"/>
      <c r="CE278" s="25"/>
      <c r="CO278" s="25"/>
      <c r="CY278" s="25"/>
      <c r="DI278" s="25"/>
      <c r="DS278" s="25"/>
      <c r="EC278" s="25"/>
      <c r="EM278" s="25"/>
      <c r="EW278" s="25"/>
      <c r="EZ278" s="32" t="str">
        <f aca="false">IF(AND(D278&gt;=2026,C278&lt;D278),"▶","")</f>
        <v/>
      </c>
    </row>
    <row r="279" customFormat="false" ht="12.75" hidden="false" customHeight="true" outlineLevel="0" collapsed="false">
      <c r="A279" s="19" t="s">
        <v>366</v>
      </c>
      <c r="B279" s="27" t="s">
        <v>392</v>
      </c>
      <c r="C279" s="21" t="n">
        <v>973</v>
      </c>
      <c r="D279" s="21" t="n">
        <v>1050</v>
      </c>
      <c r="E279" s="22" t="str">
        <f aca="false">IF(C279=D279,"событие",IF(D279&gt;=2026,IF(A279="Личности","жив","существует"),"в прошлом"))</f>
        <v>в прошлом</v>
      </c>
      <c r="F279" s="23" t="n">
        <f aca="false">IF(C279=D279,"",D279-C279)</f>
        <v>77</v>
      </c>
      <c r="G279" s="23"/>
      <c r="H279" s="19" t="s">
        <v>274</v>
      </c>
      <c r="I279" s="24"/>
      <c r="M279" s="25"/>
      <c r="W279" s="25"/>
      <c r="AG279" s="25"/>
      <c r="AQ279" s="25"/>
      <c r="BA279" s="25"/>
      <c r="BK279" s="25"/>
      <c r="BU279" s="25"/>
      <c r="CE279" s="25"/>
      <c r="CO279" s="25"/>
      <c r="CY279" s="25"/>
      <c r="DI279" s="25"/>
      <c r="DS279" s="25"/>
      <c r="EC279" s="25"/>
      <c r="EM279" s="25"/>
      <c r="EW279" s="25"/>
      <c r="EZ279" s="54" t="str">
        <f aca="false">IF(AND(D279&gt;=2026,C279&lt;D279),"▶","")</f>
        <v/>
      </c>
    </row>
    <row r="280" customFormat="false" ht="12.75" hidden="false" customHeight="true" outlineLevel="0" collapsed="false">
      <c r="A280" s="19" t="s">
        <v>366</v>
      </c>
      <c r="B280" s="27" t="s">
        <v>393</v>
      </c>
      <c r="C280" s="21" t="n">
        <v>980</v>
      </c>
      <c r="D280" s="21" t="n">
        <v>1037</v>
      </c>
      <c r="E280" s="22" t="str">
        <f aca="false">IF(C280=D280,"событие",IF(D280&gt;=2026,IF(A280="Личности","жив","существует"),"в прошлом"))</f>
        <v>в прошлом</v>
      </c>
      <c r="F280" s="23" t="n">
        <f aca="false">IF(C280=D280,"",D280-C280)</f>
        <v>57</v>
      </c>
      <c r="G280" s="23"/>
      <c r="H280" s="19" t="s">
        <v>274</v>
      </c>
      <c r="I280" s="24"/>
      <c r="M280" s="25"/>
      <c r="W280" s="25"/>
      <c r="AG280" s="25"/>
      <c r="AQ280" s="25"/>
      <c r="BA280" s="25"/>
      <c r="BK280" s="25"/>
      <c r="BU280" s="25"/>
      <c r="CE280" s="25"/>
      <c r="CO280" s="25"/>
      <c r="CY280" s="25"/>
      <c r="DI280" s="25"/>
      <c r="DS280" s="25"/>
      <c r="EC280" s="25"/>
      <c r="EM280" s="25"/>
      <c r="EW280" s="25"/>
      <c r="EZ280" s="54" t="str">
        <f aca="false">IF(AND(D280&gt;=2026,C280&lt;D280),"▶","")</f>
        <v/>
      </c>
    </row>
    <row r="281" customFormat="false" ht="12.75" hidden="false" customHeight="true" outlineLevel="0" collapsed="false">
      <c r="A281" s="19" t="s">
        <v>366</v>
      </c>
      <c r="B281" s="27" t="s">
        <v>394</v>
      </c>
      <c r="C281" s="21" t="n">
        <v>985</v>
      </c>
      <c r="D281" s="21" t="n">
        <v>1021</v>
      </c>
      <c r="E281" s="22" t="str">
        <f aca="false">IF(C281=D281,"событие",IF(D281&gt;=2026,IF(A281="Личности","жив","существует"),"в прошлом"))</f>
        <v>в прошлом</v>
      </c>
      <c r="F281" s="23" t="n">
        <f aca="false">IF(C281=D281,"",D281-C281)</f>
        <v>36</v>
      </c>
      <c r="G281" s="23"/>
      <c r="H281" s="19" t="s">
        <v>216</v>
      </c>
      <c r="I281" s="24"/>
      <c r="M281" s="25"/>
      <c r="W281" s="25"/>
      <c r="AG281" s="25"/>
      <c r="AQ281" s="25"/>
      <c r="BA281" s="25"/>
      <c r="BK281" s="25"/>
      <c r="BU281" s="25"/>
      <c r="CE281" s="25"/>
      <c r="CO281" s="25"/>
      <c r="CY281" s="25"/>
      <c r="DI281" s="25"/>
      <c r="DS281" s="25"/>
      <c r="EC281" s="25"/>
      <c r="EM281" s="25"/>
      <c r="EW281" s="25"/>
      <c r="EZ281" s="45" t="str">
        <f aca="false">IF(AND(D281&gt;=2026,C281&lt;D281),"▶","")</f>
        <v/>
      </c>
    </row>
    <row r="282" customFormat="false" ht="12.75" hidden="false" customHeight="true" outlineLevel="0" collapsed="false">
      <c r="A282" s="19" t="s">
        <v>366</v>
      </c>
      <c r="B282" s="27" t="s">
        <v>395</v>
      </c>
      <c r="C282" s="21" t="n">
        <v>994</v>
      </c>
      <c r="D282" s="21" t="n">
        <v>1064</v>
      </c>
      <c r="E282" s="22" t="str">
        <f aca="false">IF(C282=D282,"событие",IF(D282&gt;=2026,IF(A282="Личности","жив","существует"),"в прошлом"))</f>
        <v>в прошлом</v>
      </c>
      <c r="F282" s="23" t="n">
        <f aca="false">IF(C282=D282,"",D282-C282)</f>
        <v>70</v>
      </c>
      <c r="G282" s="23"/>
      <c r="H282" s="19" t="s">
        <v>139</v>
      </c>
      <c r="I282" s="24"/>
      <c r="M282" s="25"/>
      <c r="W282" s="25"/>
      <c r="AG282" s="25"/>
      <c r="AQ282" s="25"/>
      <c r="BA282" s="25"/>
      <c r="BK282" s="25"/>
      <c r="BU282" s="25"/>
      <c r="CE282" s="25"/>
      <c r="CO282" s="25"/>
      <c r="CY282" s="25"/>
      <c r="DI282" s="25"/>
      <c r="DS282" s="25"/>
      <c r="EC282" s="25"/>
      <c r="EM282" s="25"/>
      <c r="EW282" s="25"/>
      <c r="EZ282" s="32" t="str">
        <f aca="false">IF(AND(D282&gt;=2026,C282&lt;D282),"▶","")</f>
        <v/>
      </c>
    </row>
    <row r="283" customFormat="false" ht="12.75" hidden="false" customHeight="true" outlineLevel="0" collapsed="false">
      <c r="A283" s="19" t="s">
        <v>366</v>
      </c>
      <c r="B283" s="27" t="s">
        <v>396</v>
      </c>
      <c r="C283" s="21" t="n">
        <v>995</v>
      </c>
      <c r="D283" s="21" t="n">
        <v>1067</v>
      </c>
      <c r="E283" s="22" t="str">
        <f aca="false">IF(C283=D283,"событие",IF(D283&gt;=2026,IF(A283="Личности","жив","существует"),"в прошлом"))</f>
        <v>в прошлом</v>
      </c>
      <c r="F283" s="23" t="n">
        <f aca="false">IF(C283=D283,"",D283-C283)</f>
        <v>72</v>
      </c>
      <c r="G283" s="23"/>
      <c r="H283" s="19" t="s">
        <v>150</v>
      </c>
      <c r="I283" s="24"/>
      <c r="M283" s="25"/>
      <c r="W283" s="25"/>
      <c r="AG283" s="25"/>
      <c r="AQ283" s="25"/>
      <c r="BA283" s="25"/>
      <c r="BK283" s="25"/>
      <c r="BU283" s="25"/>
      <c r="CE283" s="25"/>
      <c r="CO283" s="25"/>
      <c r="CY283" s="25"/>
      <c r="DI283" s="25"/>
      <c r="DS283" s="25"/>
      <c r="EC283" s="25"/>
      <c r="EM283" s="25"/>
      <c r="EW283" s="25"/>
      <c r="EZ283" s="35" t="str">
        <f aca="false">IF(AND(D283&gt;=2026,C283&lt;D283),"▶","")</f>
        <v/>
      </c>
    </row>
    <row r="284" customFormat="false" ht="12.75" hidden="false" customHeight="true" outlineLevel="0" collapsed="false">
      <c r="A284" s="19" t="s">
        <v>366</v>
      </c>
      <c r="B284" s="27" t="s">
        <v>397</v>
      </c>
      <c r="C284" s="21" t="n">
        <v>1004</v>
      </c>
      <c r="D284" s="21" t="n">
        <v>1088</v>
      </c>
      <c r="E284" s="22" t="str">
        <f aca="false">IF(C284=D284,"событие",IF(D284&gt;=2026,IF(A284="Личности","жив","существует"),"в прошлом"))</f>
        <v>в прошлом</v>
      </c>
      <c r="F284" s="23" t="n">
        <f aca="false">IF(C284=D284,"",D284-C284)</f>
        <v>84</v>
      </c>
      <c r="G284" s="23"/>
      <c r="H284" s="19" t="s">
        <v>150</v>
      </c>
      <c r="I284" s="24"/>
      <c r="M284" s="25"/>
      <c r="W284" s="25"/>
      <c r="AG284" s="25"/>
      <c r="AQ284" s="25"/>
      <c r="BA284" s="25"/>
      <c r="BK284" s="25"/>
      <c r="BU284" s="25"/>
      <c r="CE284" s="25"/>
      <c r="CO284" s="25"/>
      <c r="CY284" s="25"/>
      <c r="DI284" s="25"/>
      <c r="DS284" s="25"/>
      <c r="EC284" s="25"/>
      <c r="EM284" s="25"/>
      <c r="EW284" s="25"/>
      <c r="EZ284" s="35" t="str">
        <f aca="false">IF(AND(D284&gt;=2026,C284&lt;D284),"▶","")</f>
        <v/>
      </c>
    </row>
    <row r="285" customFormat="false" ht="12.75" hidden="false" customHeight="true" outlineLevel="0" collapsed="false">
      <c r="A285" s="19" t="s">
        <v>366</v>
      </c>
      <c r="B285" s="27" t="s">
        <v>398</v>
      </c>
      <c r="C285" s="21" t="n">
        <v>1050</v>
      </c>
      <c r="D285" s="21" t="n">
        <v>1124</v>
      </c>
      <c r="E285" s="22" t="str">
        <f aca="false">IF(C285=D285,"событие",IF(D285&gt;=2026,IF(A285="Личности","жив","существует"),"в прошлом"))</f>
        <v>в прошлом</v>
      </c>
      <c r="F285" s="23" t="n">
        <f aca="false">IF(C285=D285,"",D285-C285)</f>
        <v>74</v>
      </c>
      <c r="G285" s="23"/>
      <c r="H285" s="19" t="s">
        <v>150</v>
      </c>
      <c r="I285" s="24"/>
      <c r="M285" s="25"/>
      <c r="W285" s="25"/>
      <c r="AG285" s="25"/>
      <c r="AQ285" s="25"/>
      <c r="BA285" s="25"/>
      <c r="BK285" s="25"/>
      <c r="BU285" s="25"/>
      <c r="CE285" s="25"/>
      <c r="CO285" s="25"/>
      <c r="CY285" s="25"/>
      <c r="DI285" s="25"/>
      <c r="DS285" s="25"/>
      <c r="EC285" s="25"/>
      <c r="EM285" s="25"/>
      <c r="EW285" s="25"/>
      <c r="EZ285" s="35" t="str">
        <f aca="false">IF(AND(D285&gt;=2026,C285&lt;D285),"▶","")</f>
        <v/>
      </c>
    </row>
    <row r="286" customFormat="false" ht="12.75" hidden="false" customHeight="true" outlineLevel="0" collapsed="false">
      <c r="A286" s="19" t="s">
        <v>366</v>
      </c>
      <c r="B286" s="27" t="s">
        <v>399</v>
      </c>
      <c r="C286" s="21" t="n">
        <v>1058</v>
      </c>
      <c r="D286" s="21" t="n">
        <v>1111</v>
      </c>
      <c r="E286" s="22" t="str">
        <f aca="false">IF(C286=D286,"событие",IF(D286&gt;=2026,IF(A286="Личности","жив","существует"),"в прошлом"))</f>
        <v>в прошлом</v>
      </c>
      <c r="F286" s="23" t="n">
        <f aca="false">IF(C286=D286,"",D286-C286)</f>
        <v>53</v>
      </c>
      <c r="G286" s="23"/>
      <c r="H286" s="19" t="s">
        <v>139</v>
      </c>
      <c r="I286" s="24"/>
      <c r="M286" s="25"/>
      <c r="W286" s="25"/>
      <c r="AG286" s="25"/>
      <c r="AQ286" s="25"/>
      <c r="BA286" s="25"/>
      <c r="BK286" s="25"/>
      <c r="BU286" s="25"/>
      <c r="CE286" s="25"/>
      <c r="CO286" s="25"/>
      <c r="CY286" s="25"/>
      <c r="DI286" s="25"/>
      <c r="DS286" s="25"/>
      <c r="EC286" s="25"/>
      <c r="EM286" s="25"/>
      <c r="EW286" s="25"/>
      <c r="EZ286" s="32" t="str">
        <f aca="false">IF(AND(D286&gt;=2026,C286&lt;D286),"▶","")</f>
        <v/>
      </c>
    </row>
    <row r="287" customFormat="false" ht="12.75" hidden="false" customHeight="true" outlineLevel="0" collapsed="false">
      <c r="A287" s="19" t="s">
        <v>366</v>
      </c>
      <c r="B287" s="27" t="s">
        <v>400</v>
      </c>
      <c r="C287" s="21" t="n">
        <v>1077</v>
      </c>
      <c r="D287" s="21" t="n">
        <v>1166</v>
      </c>
      <c r="E287" s="22" t="str">
        <f aca="false">IF(C287=D287,"событие",IF(D287&gt;=2026,IF(A287="Личности","жив","существует"),"в прошлом"))</f>
        <v>в прошлом</v>
      </c>
      <c r="F287" s="23" t="n">
        <f aca="false">IF(C287=D287,"",D287-C287)</f>
        <v>89</v>
      </c>
      <c r="G287" s="23"/>
      <c r="H287" s="19" t="s">
        <v>291</v>
      </c>
      <c r="I287" s="24"/>
      <c r="M287" s="25"/>
      <c r="W287" s="25"/>
      <c r="AG287" s="25"/>
      <c r="AQ287" s="25"/>
      <c r="BA287" s="25"/>
      <c r="BK287" s="25"/>
      <c r="BU287" s="25"/>
      <c r="CE287" s="25"/>
      <c r="CO287" s="25"/>
      <c r="CY287" s="25"/>
      <c r="DI287" s="25"/>
      <c r="DS287" s="25"/>
      <c r="EC287" s="25"/>
      <c r="EM287" s="25"/>
      <c r="EW287" s="25"/>
      <c r="EZ287" s="59" t="str">
        <f aca="false">IF(AND(D287&gt;=2026,C287&lt;D287),"▶","")</f>
        <v/>
      </c>
    </row>
    <row r="288" customFormat="false" ht="12.75" hidden="false" customHeight="true" outlineLevel="0" collapsed="false">
      <c r="A288" s="19" t="s">
        <v>366</v>
      </c>
      <c r="B288" s="27" t="s">
        <v>401</v>
      </c>
      <c r="C288" s="21" t="n">
        <v>1093</v>
      </c>
      <c r="D288" s="21" t="n">
        <v>1166</v>
      </c>
      <c r="E288" s="22" t="str">
        <f aca="false">IF(C288=D288,"событие",IF(D288&gt;=2026,IF(A288="Личности","жив","существует"),"в прошлом"))</f>
        <v>в прошлом</v>
      </c>
      <c r="F288" s="23" t="n">
        <f aca="false">IF(C288=D288,"",D288-C288)</f>
        <v>73</v>
      </c>
      <c r="G288" s="23"/>
      <c r="H288" s="19" t="s">
        <v>291</v>
      </c>
      <c r="I288" s="24"/>
      <c r="M288" s="25"/>
      <c r="W288" s="25"/>
      <c r="AG288" s="25"/>
      <c r="AQ288" s="25"/>
      <c r="BA288" s="25"/>
      <c r="BK288" s="25"/>
      <c r="BU288" s="25"/>
      <c r="CE288" s="25"/>
      <c r="CO288" s="25"/>
      <c r="CY288" s="25"/>
      <c r="DI288" s="25"/>
      <c r="DS288" s="25"/>
      <c r="EC288" s="25"/>
      <c r="EM288" s="25"/>
      <c r="EW288" s="25"/>
      <c r="EZ288" s="59" t="str">
        <f aca="false">IF(AND(D288&gt;=2026,C288&lt;D288),"▶","")</f>
        <v/>
      </c>
    </row>
    <row r="289" customFormat="false" ht="12.75" hidden="false" customHeight="true" outlineLevel="0" collapsed="false">
      <c r="A289" s="19" t="s">
        <v>366</v>
      </c>
      <c r="B289" s="27" t="s">
        <v>402</v>
      </c>
      <c r="C289" s="21" t="n">
        <v>1126</v>
      </c>
      <c r="D289" s="21" t="n">
        <v>1198</v>
      </c>
      <c r="E289" s="22" t="str">
        <f aca="false">IF(C289=D289,"событие",IF(D289&gt;=2026,IF(A289="Личности","жив","существует"),"в прошлом"))</f>
        <v>в прошлом</v>
      </c>
      <c r="F289" s="23" t="n">
        <f aca="false">IF(C289=D289,"",D289-C289)</f>
        <v>72</v>
      </c>
      <c r="G289" s="23"/>
      <c r="H289" s="19" t="s">
        <v>274</v>
      </c>
      <c r="I289" s="24"/>
      <c r="M289" s="25"/>
      <c r="W289" s="25"/>
      <c r="AG289" s="25"/>
      <c r="AQ289" s="25"/>
      <c r="BA289" s="25"/>
      <c r="BK289" s="25"/>
      <c r="BU289" s="25"/>
      <c r="CE289" s="25"/>
      <c r="CO289" s="25"/>
      <c r="CY289" s="25"/>
      <c r="DI289" s="25"/>
      <c r="DS289" s="25"/>
      <c r="EC289" s="25"/>
      <c r="EM289" s="25"/>
      <c r="EW289" s="25"/>
      <c r="EZ289" s="54" t="str">
        <f aca="false">IF(AND(D289&gt;=2026,C289&lt;D289),"▶","")</f>
        <v/>
      </c>
    </row>
    <row r="290" customFormat="false" ht="12.75" hidden="false" customHeight="true" outlineLevel="0" collapsed="false">
      <c r="A290" s="19" t="s">
        <v>366</v>
      </c>
      <c r="B290" s="27" t="s">
        <v>403</v>
      </c>
      <c r="C290" s="21" t="n">
        <v>1137</v>
      </c>
      <c r="D290" s="21" t="n">
        <v>1193</v>
      </c>
      <c r="E290" s="22" t="str">
        <f aca="false">IF(C290=D290,"событие",IF(D290&gt;=2026,IF(A290="Личности","жив","существует"),"в прошлом"))</f>
        <v>в прошлом</v>
      </c>
      <c r="F290" s="23" t="n">
        <f aca="false">IF(C290=D290,"",D290-C290)</f>
        <v>56</v>
      </c>
      <c r="G290" s="23"/>
      <c r="H290" s="19" t="s">
        <v>139</v>
      </c>
      <c r="I290" s="24"/>
      <c r="M290" s="25"/>
      <c r="W290" s="25"/>
      <c r="AG290" s="25"/>
      <c r="AQ290" s="25"/>
      <c r="BA290" s="25"/>
      <c r="BK290" s="25"/>
      <c r="BU290" s="25"/>
      <c r="CE290" s="25"/>
      <c r="CO290" s="25"/>
      <c r="CY290" s="25"/>
      <c r="DI290" s="25"/>
      <c r="DS290" s="25"/>
      <c r="EC290" s="25"/>
      <c r="EM290" s="25"/>
      <c r="EW290" s="25"/>
      <c r="EZ290" s="32" t="str">
        <f aca="false">IF(AND(D290&gt;=2026,C290&lt;D290),"▶","")</f>
        <v/>
      </c>
    </row>
    <row r="291" customFormat="false" ht="12.75" hidden="false" customHeight="true" outlineLevel="0" collapsed="false">
      <c r="A291" s="19" t="s">
        <v>366</v>
      </c>
      <c r="B291" s="27" t="s">
        <v>404</v>
      </c>
      <c r="C291" s="21" t="n">
        <v>1165</v>
      </c>
      <c r="D291" s="21" t="n">
        <v>1240</v>
      </c>
      <c r="E291" s="22" t="str">
        <f aca="false">IF(C291=D291,"событие",IF(D291&gt;=2026,IF(A291="Личности","жив","существует"),"в прошлом"))</f>
        <v>в прошлом</v>
      </c>
      <c r="F291" s="23" t="n">
        <f aca="false">IF(C291=D291,"",D291-C291)</f>
        <v>75</v>
      </c>
      <c r="G291" s="23"/>
      <c r="H291" s="19" t="s">
        <v>291</v>
      </c>
      <c r="I291" s="24"/>
      <c r="M291" s="25"/>
      <c r="W291" s="25"/>
      <c r="AG291" s="25"/>
      <c r="AQ291" s="25"/>
      <c r="BA291" s="25"/>
      <c r="BK291" s="25"/>
      <c r="BU291" s="25"/>
      <c r="CE291" s="25"/>
      <c r="CO291" s="25"/>
      <c r="CY291" s="25"/>
      <c r="DI291" s="25"/>
      <c r="DS291" s="25"/>
      <c r="EC291" s="25"/>
      <c r="EM291" s="25"/>
      <c r="EW291" s="25"/>
      <c r="EZ291" s="59" t="str">
        <f aca="false">IF(AND(D291&gt;=2026,C291&lt;D291),"▶","")</f>
        <v/>
      </c>
    </row>
    <row r="292" customFormat="false" ht="12.75" hidden="false" customHeight="true" outlineLevel="0" collapsed="false">
      <c r="A292" s="19" t="s">
        <v>366</v>
      </c>
      <c r="B292" s="27" t="s">
        <v>405</v>
      </c>
      <c r="C292" s="21" t="n">
        <v>1201</v>
      </c>
      <c r="D292" s="21" t="n">
        <v>1274</v>
      </c>
      <c r="E292" s="22" t="str">
        <f aca="false">IF(C292=D292,"событие",IF(D292&gt;=2026,IF(A292="Личности","жив","существует"),"в прошлом"))</f>
        <v>в прошлом</v>
      </c>
      <c r="F292" s="23" t="n">
        <f aca="false">IF(C292=D292,"",D292-C292)</f>
        <v>73</v>
      </c>
      <c r="G292" s="23"/>
      <c r="H292" s="19" t="s">
        <v>150</v>
      </c>
      <c r="I292" s="24"/>
      <c r="M292" s="25"/>
      <c r="W292" s="25"/>
      <c r="AG292" s="25"/>
      <c r="AQ292" s="25"/>
      <c r="BA292" s="25"/>
      <c r="BK292" s="25"/>
      <c r="BU292" s="25"/>
      <c r="CE292" s="25"/>
      <c r="CO292" s="25"/>
      <c r="CY292" s="25"/>
      <c r="DI292" s="25"/>
      <c r="DS292" s="25"/>
      <c r="EC292" s="25"/>
      <c r="EM292" s="25"/>
      <c r="EW292" s="25"/>
      <c r="EZ292" s="35" t="str">
        <f aca="false">IF(AND(D292&gt;=2026,C292&lt;D292),"▶","")</f>
        <v/>
      </c>
    </row>
    <row r="293" customFormat="false" ht="12.75" hidden="false" customHeight="true" outlineLevel="0" collapsed="false">
      <c r="A293" s="19" t="s">
        <v>366</v>
      </c>
      <c r="B293" s="27" t="s">
        <v>406</v>
      </c>
      <c r="C293" s="21" t="n">
        <v>1207</v>
      </c>
      <c r="D293" s="21" t="n">
        <v>1273</v>
      </c>
      <c r="E293" s="22" t="str">
        <f aca="false">IF(C293=D293,"событие",IF(D293&gt;=2026,IF(A293="Личности","жив","существует"),"в прошлом"))</f>
        <v>в прошлом</v>
      </c>
      <c r="F293" s="23" t="n">
        <f aca="false">IF(C293=D293,"",D293-C293)</f>
        <v>66</v>
      </c>
      <c r="G293" s="23"/>
      <c r="H293" s="19" t="s">
        <v>291</v>
      </c>
      <c r="I293" s="24"/>
      <c r="M293" s="25"/>
      <c r="W293" s="25"/>
      <c r="AG293" s="25"/>
      <c r="AQ293" s="25"/>
      <c r="BA293" s="25"/>
      <c r="BK293" s="25"/>
      <c r="BU293" s="25"/>
      <c r="CE293" s="25"/>
      <c r="CO293" s="25"/>
      <c r="CY293" s="25"/>
      <c r="DI293" s="25"/>
      <c r="DS293" s="25"/>
      <c r="EC293" s="25"/>
      <c r="EM293" s="25"/>
      <c r="EW293" s="25"/>
      <c r="EZ293" s="59" t="str">
        <f aca="false">IF(AND(D293&gt;=2026,C293&lt;D293),"▶","")</f>
        <v/>
      </c>
    </row>
    <row r="294" customFormat="false" ht="12.75" hidden="false" customHeight="true" outlineLevel="0" collapsed="false">
      <c r="A294" s="19" t="s">
        <v>366</v>
      </c>
      <c r="B294" s="27" t="s">
        <v>407</v>
      </c>
      <c r="C294" s="21" t="n">
        <v>1263</v>
      </c>
      <c r="D294" s="21" t="n">
        <v>1328</v>
      </c>
      <c r="E294" s="22" t="str">
        <f aca="false">IF(C294=D294,"событие",IF(D294&gt;=2026,IF(A294="Личности","жив","существует"),"в прошлом"))</f>
        <v>в прошлом</v>
      </c>
      <c r="F294" s="23" t="n">
        <f aca="false">IF(C294=D294,"",D294-C294)</f>
        <v>65</v>
      </c>
      <c r="G294" s="23"/>
      <c r="H294" s="19" t="s">
        <v>139</v>
      </c>
      <c r="I294" s="24"/>
      <c r="M294" s="25"/>
      <c r="W294" s="25"/>
      <c r="AG294" s="25"/>
      <c r="AQ294" s="25"/>
      <c r="BA294" s="25"/>
      <c r="BK294" s="25"/>
      <c r="BU294" s="25"/>
      <c r="CE294" s="25"/>
      <c r="CO294" s="25"/>
      <c r="CY294" s="25"/>
      <c r="DI294" s="25"/>
      <c r="DS294" s="25"/>
      <c r="EC294" s="25"/>
      <c r="EM294" s="25"/>
      <c r="EW294" s="25"/>
      <c r="EZ294" s="32" t="str">
        <f aca="false">IF(AND(D294&gt;=2026,C294&lt;D294),"▶","")</f>
        <v/>
      </c>
    </row>
    <row r="295" customFormat="false" ht="12.75" hidden="false" customHeight="true" outlineLevel="0" collapsed="false">
      <c r="A295" s="19" t="s">
        <v>366</v>
      </c>
      <c r="B295" s="27" t="s">
        <v>408</v>
      </c>
      <c r="C295" s="21" t="n">
        <v>1318</v>
      </c>
      <c r="D295" s="21" t="n">
        <v>1389</v>
      </c>
      <c r="E295" s="22" t="str">
        <f aca="false">IF(C295=D295,"событие",IF(D295&gt;=2026,IF(A295="Личности","жив","существует"),"в прошлом"))</f>
        <v>в прошлом</v>
      </c>
      <c r="F295" s="23" t="n">
        <f aca="false">IF(C295=D295,"",D295-C295)</f>
        <v>71</v>
      </c>
      <c r="G295" s="23"/>
      <c r="H295" s="19" t="s">
        <v>291</v>
      </c>
      <c r="I295" s="24"/>
      <c r="M295" s="25"/>
      <c r="W295" s="25"/>
      <c r="AG295" s="25"/>
      <c r="AQ295" s="25"/>
      <c r="BA295" s="25"/>
      <c r="BK295" s="25"/>
      <c r="BU295" s="25"/>
      <c r="CE295" s="25"/>
      <c r="CO295" s="25"/>
      <c r="CY295" s="25"/>
      <c r="DI295" s="25"/>
      <c r="DS295" s="25"/>
      <c r="EC295" s="25"/>
      <c r="EM295" s="25"/>
      <c r="EW295" s="25"/>
      <c r="EZ295" s="59" t="str">
        <f aca="false">IF(AND(D295&gt;=2026,C295&lt;D295),"▶","")</f>
        <v/>
      </c>
    </row>
    <row r="296" customFormat="false" ht="12.75" hidden="false" customHeight="true" outlineLevel="0" collapsed="false">
      <c r="A296" s="19" t="s">
        <v>366</v>
      </c>
      <c r="B296" s="27" t="s">
        <v>409</v>
      </c>
      <c r="C296" s="21" t="n">
        <v>1332</v>
      </c>
      <c r="D296" s="21" t="n">
        <v>1406</v>
      </c>
      <c r="E296" s="22" t="str">
        <f aca="false">IF(C296=D296,"событие",IF(D296&gt;=2026,IF(A296="Личности","жив","существует"),"в прошлом"))</f>
        <v>в прошлом</v>
      </c>
      <c r="F296" s="23" t="n">
        <f aca="false">IF(C296=D296,"",D296-C296)</f>
        <v>74</v>
      </c>
      <c r="G296" s="23"/>
      <c r="H296" s="19" t="s">
        <v>274</v>
      </c>
      <c r="I296" s="24"/>
      <c r="M296" s="25"/>
      <c r="W296" s="25"/>
      <c r="AG296" s="25"/>
      <c r="AQ296" s="25"/>
      <c r="BA296" s="25"/>
      <c r="BK296" s="25"/>
      <c r="BU296" s="25"/>
      <c r="CE296" s="25"/>
      <c r="CO296" s="25"/>
      <c r="CY296" s="25"/>
      <c r="DI296" s="25"/>
      <c r="DS296" s="25"/>
      <c r="EC296" s="25"/>
      <c r="EM296" s="25"/>
      <c r="EW296" s="25"/>
      <c r="EZ296" s="54" t="str">
        <f aca="false">IF(AND(D296&gt;=2026,C296&lt;D296),"▶","")</f>
        <v/>
      </c>
    </row>
    <row r="297" customFormat="false" ht="12.75" hidden="false" customHeight="true" outlineLevel="0" collapsed="false">
      <c r="A297" s="19" t="s">
        <v>366</v>
      </c>
      <c r="B297" s="27" t="s">
        <v>410</v>
      </c>
      <c r="C297" s="21" t="n">
        <v>1336</v>
      </c>
      <c r="D297" s="21" t="n">
        <v>1405</v>
      </c>
      <c r="E297" s="22" t="str">
        <f aca="false">IF(C297=D297,"событие",IF(D297&gt;=2026,IF(A297="Личности","жив","существует"),"в прошлом"))</f>
        <v>в прошлом</v>
      </c>
      <c r="F297" s="23" t="n">
        <f aca="false">IF(C297=D297,"",D297-C297)</f>
        <v>69</v>
      </c>
      <c r="G297" s="23"/>
      <c r="H297" s="19" t="s">
        <v>139</v>
      </c>
      <c r="I297" s="24"/>
      <c r="M297" s="25"/>
      <c r="W297" s="25"/>
      <c r="AG297" s="25"/>
      <c r="AQ297" s="25"/>
      <c r="BA297" s="25"/>
      <c r="BK297" s="25"/>
      <c r="BU297" s="25"/>
      <c r="CE297" s="25"/>
      <c r="CO297" s="25"/>
      <c r="CY297" s="25"/>
      <c r="DI297" s="25"/>
      <c r="DS297" s="25"/>
      <c r="EC297" s="25"/>
      <c r="EM297" s="25"/>
      <c r="EW297" s="25"/>
      <c r="EZ297" s="32" t="str">
        <f aca="false">IF(AND(D297&gt;=2026,C297&lt;D297),"▶","")</f>
        <v/>
      </c>
    </row>
    <row r="298" customFormat="false" ht="12.75" hidden="false" customHeight="true" outlineLevel="0" collapsed="false">
      <c r="A298" s="19" t="s">
        <v>366</v>
      </c>
      <c r="B298" s="27" t="s">
        <v>411</v>
      </c>
      <c r="C298" s="21" t="n">
        <v>1432</v>
      </c>
      <c r="D298" s="21" t="n">
        <v>1481</v>
      </c>
      <c r="E298" s="22" t="str">
        <f aca="false">IF(C298=D298,"событие",IF(D298&gt;=2026,IF(A298="Личности","жив","существует"),"в прошлом"))</f>
        <v>в прошлом</v>
      </c>
      <c r="F298" s="23" t="n">
        <f aca="false">IF(C298=D298,"",D298-C298)</f>
        <v>49</v>
      </c>
      <c r="G298" s="23"/>
      <c r="H298" s="19" t="s">
        <v>139</v>
      </c>
      <c r="I298" s="24"/>
      <c r="M298" s="25"/>
      <c r="W298" s="25"/>
      <c r="AG298" s="25"/>
      <c r="AQ298" s="25"/>
      <c r="BA298" s="25"/>
      <c r="BK298" s="25"/>
      <c r="BU298" s="25"/>
      <c r="CE298" s="25"/>
      <c r="CO298" s="25"/>
      <c r="CY298" s="25"/>
      <c r="DI298" s="25"/>
      <c r="DS298" s="25"/>
      <c r="EC298" s="25"/>
      <c r="EM298" s="25"/>
      <c r="EW298" s="25"/>
      <c r="EZ298" s="32" t="str">
        <f aca="false">IF(AND(D298&gt;=2026,C298&lt;D298),"▶","")</f>
        <v/>
      </c>
    </row>
    <row r="299" customFormat="false" ht="12.75" hidden="false" customHeight="true" outlineLevel="0" collapsed="false">
      <c r="A299" s="19" t="s">
        <v>366</v>
      </c>
      <c r="B299" s="27" t="s">
        <v>412</v>
      </c>
      <c r="C299" s="21" t="n">
        <v>1441</v>
      </c>
      <c r="D299" s="21" t="n">
        <v>1501</v>
      </c>
      <c r="E299" s="22" t="str">
        <f aca="false">IF(C299=D299,"событие",IF(D299&gt;=2026,IF(A299="Личности","жив","существует"),"в прошлом"))</f>
        <v>в прошлом</v>
      </c>
      <c r="F299" s="23" t="n">
        <f aca="false">IF(C299=D299,"",D299-C299)</f>
        <v>60</v>
      </c>
      <c r="G299" s="23"/>
      <c r="H299" s="19" t="s">
        <v>291</v>
      </c>
      <c r="I299" s="24"/>
      <c r="M299" s="25"/>
      <c r="W299" s="25"/>
      <c r="AG299" s="25"/>
      <c r="AQ299" s="25"/>
      <c r="BA299" s="25"/>
      <c r="BK299" s="25"/>
      <c r="BU299" s="25"/>
      <c r="CE299" s="25"/>
      <c r="CO299" s="25"/>
      <c r="CY299" s="25"/>
      <c r="DI299" s="25"/>
      <c r="DS299" s="25"/>
      <c r="EC299" s="25"/>
      <c r="EM299" s="25"/>
      <c r="EW299" s="25"/>
      <c r="EZ299" s="59" t="str">
        <f aca="false">IF(AND(D299&gt;=2026,C299&lt;D299),"▶","")</f>
        <v/>
      </c>
    </row>
    <row r="300" customFormat="false" ht="12.75" hidden="false" customHeight="true" outlineLevel="0" collapsed="false">
      <c r="A300" s="19" t="s">
        <v>366</v>
      </c>
      <c r="B300" s="27" t="s">
        <v>413</v>
      </c>
      <c r="C300" s="21" t="n">
        <v>1483</v>
      </c>
      <c r="D300" s="21" t="n">
        <v>1530</v>
      </c>
      <c r="E300" s="22" t="str">
        <f aca="false">IF(C300=D300,"событие",IF(D300&gt;=2026,IF(A300="Личности","жив","существует"),"в прошлом"))</f>
        <v>в прошлом</v>
      </c>
      <c r="F300" s="23" t="n">
        <f aca="false">IF(C300=D300,"",D300-C300)</f>
        <v>47</v>
      </c>
      <c r="G300" s="23"/>
      <c r="H300" s="19" t="s">
        <v>139</v>
      </c>
      <c r="I300" s="24"/>
      <c r="M300" s="25"/>
      <c r="W300" s="25"/>
      <c r="AG300" s="25"/>
      <c r="AQ300" s="25"/>
      <c r="BA300" s="25"/>
      <c r="BK300" s="25"/>
      <c r="BU300" s="25"/>
      <c r="CE300" s="25"/>
      <c r="CO300" s="25"/>
      <c r="CY300" s="25"/>
      <c r="DI300" s="25"/>
      <c r="DS300" s="25"/>
      <c r="EC300" s="25"/>
      <c r="EM300" s="25"/>
      <c r="EW300" s="25"/>
      <c r="EZ300" s="32" t="str">
        <f aca="false">IF(AND(D300&gt;=2026,C300&lt;D300),"▶","")</f>
        <v/>
      </c>
    </row>
    <row r="301" customFormat="false" ht="12.75" hidden="false" customHeight="true" outlineLevel="0" collapsed="false">
      <c r="A301" s="19" t="s">
        <v>366</v>
      </c>
      <c r="B301" s="27" t="s">
        <v>414</v>
      </c>
      <c r="C301" s="21" t="n">
        <v>1487</v>
      </c>
      <c r="D301" s="21" t="n">
        <v>1524</v>
      </c>
      <c r="E301" s="22" t="str">
        <f aca="false">IF(C301=D301,"событие",IF(D301&gt;=2026,IF(A301="Личности","жив","существует"),"в прошлом"))</f>
        <v>в прошлом</v>
      </c>
      <c r="F301" s="23" t="n">
        <f aca="false">IF(C301=D301,"",D301-C301)</f>
        <v>37</v>
      </c>
      <c r="G301" s="23"/>
      <c r="H301" s="19" t="s">
        <v>150</v>
      </c>
      <c r="I301" s="24"/>
      <c r="M301" s="25"/>
      <c r="W301" s="25"/>
      <c r="AG301" s="25"/>
      <c r="AQ301" s="25"/>
      <c r="BA301" s="25"/>
      <c r="BK301" s="25"/>
      <c r="BU301" s="25"/>
      <c r="CE301" s="25"/>
      <c r="CO301" s="25"/>
      <c r="CY301" s="25"/>
      <c r="DI301" s="25"/>
      <c r="DS301" s="25"/>
      <c r="EC301" s="25"/>
      <c r="EM301" s="25"/>
      <c r="EW301" s="25"/>
      <c r="EZ301" s="35" t="str">
        <f aca="false">IF(AND(D301&gt;=2026,C301&lt;D301),"▶","")</f>
        <v/>
      </c>
    </row>
    <row r="302" customFormat="false" ht="12.75" hidden="false" customHeight="true" outlineLevel="0" collapsed="false">
      <c r="A302" s="19" t="s">
        <v>366</v>
      </c>
      <c r="B302" s="27" t="s">
        <v>415</v>
      </c>
      <c r="C302" s="21" t="n">
        <v>1494</v>
      </c>
      <c r="D302" s="21" t="n">
        <v>1566</v>
      </c>
      <c r="E302" s="22" t="str">
        <f aca="false">IF(C302=D302,"событие",IF(D302&gt;=2026,IF(A302="Личности","жив","существует"),"в прошлом"))</f>
        <v>в прошлом</v>
      </c>
      <c r="F302" s="23" t="n">
        <f aca="false">IF(C302=D302,"",D302-C302)</f>
        <v>72</v>
      </c>
      <c r="G302" s="23"/>
      <c r="H302" s="19" t="s">
        <v>139</v>
      </c>
      <c r="I302" s="24"/>
      <c r="M302" s="25"/>
      <c r="W302" s="25"/>
      <c r="AG302" s="25"/>
      <c r="AQ302" s="25"/>
      <c r="BA302" s="25"/>
      <c r="BK302" s="25"/>
      <c r="BU302" s="25"/>
      <c r="CE302" s="25"/>
      <c r="CO302" s="25"/>
      <c r="CY302" s="25"/>
      <c r="DI302" s="25"/>
      <c r="DS302" s="25"/>
      <c r="EC302" s="25"/>
      <c r="EM302" s="25"/>
      <c r="EW302" s="25"/>
      <c r="EZ302" s="32" t="str">
        <f aca="false">IF(AND(D302&gt;=2026,C302&lt;D302),"▶","")</f>
        <v/>
      </c>
    </row>
    <row r="303" customFormat="false" ht="12.75" hidden="false" customHeight="true" outlineLevel="0" collapsed="false">
      <c r="A303" s="19" t="s">
        <v>366</v>
      </c>
      <c r="B303" s="27" t="s">
        <v>416</v>
      </c>
      <c r="C303" s="21" t="n">
        <v>1542</v>
      </c>
      <c r="D303" s="21" t="n">
        <v>1605</v>
      </c>
      <c r="E303" s="22" t="str">
        <f aca="false">IF(C303=D303,"событие",IF(D303&gt;=2026,IF(A303="Личности","жив","существует"),"в прошлом"))</f>
        <v>в прошлом</v>
      </c>
      <c r="F303" s="23" t="n">
        <f aca="false">IF(C303=D303,"",D303-C303)</f>
        <v>63</v>
      </c>
      <c r="G303" s="23"/>
      <c r="H303" s="19" t="s">
        <v>139</v>
      </c>
      <c r="I303" s="24"/>
      <c r="M303" s="25"/>
      <c r="W303" s="25"/>
      <c r="AG303" s="25"/>
      <c r="AQ303" s="25"/>
      <c r="BA303" s="25"/>
      <c r="BK303" s="25"/>
      <c r="BU303" s="25"/>
      <c r="CE303" s="25"/>
      <c r="CO303" s="25"/>
      <c r="CY303" s="25"/>
      <c r="DI303" s="25"/>
      <c r="DS303" s="25"/>
      <c r="EC303" s="25"/>
      <c r="EM303" s="25"/>
      <c r="EW303" s="25"/>
      <c r="EZ303" s="32" t="str">
        <f aca="false">IF(AND(D303&gt;=2026,C303&lt;D303),"▶","")</f>
        <v/>
      </c>
    </row>
    <row r="304" customFormat="false" ht="12.75" hidden="false" customHeight="true" outlineLevel="0" collapsed="false">
      <c r="A304" s="19" t="s">
        <v>366</v>
      </c>
      <c r="B304" s="27" t="s">
        <v>417</v>
      </c>
      <c r="C304" s="21" t="n">
        <v>1564</v>
      </c>
      <c r="D304" s="21" t="n">
        <v>1624</v>
      </c>
      <c r="E304" s="22" t="str">
        <f aca="false">IF(C304=D304,"событие",IF(D304&gt;=2026,IF(A304="Личности","жив","существует"),"в прошлом"))</f>
        <v>в прошлом</v>
      </c>
      <c r="F304" s="23" t="n">
        <f aca="false">IF(C304=D304,"",D304-C304)</f>
        <v>60</v>
      </c>
      <c r="G304" s="23"/>
      <c r="H304" s="19" t="s">
        <v>291</v>
      </c>
      <c r="I304" s="24"/>
      <c r="M304" s="25"/>
      <c r="W304" s="25"/>
      <c r="AG304" s="25"/>
      <c r="AQ304" s="25"/>
      <c r="BA304" s="25"/>
      <c r="BK304" s="25"/>
      <c r="BU304" s="25"/>
      <c r="CE304" s="25"/>
      <c r="CO304" s="25"/>
      <c r="CY304" s="25"/>
      <c r="DI304" s="25"/>
      <c r="DS304" s="25"/>
      <c r="EC304" s="25"/>
      <c r="EM304" s="25"/>
      <c r="EW304" s="25"/>
      <c r="EZ304" s="59" t="str">
        <f aca="false">IF(AND(D304&gt;=2026,C304&lt;D304),"▶","")</f>
        <v/>
      </c>
    </row>
    <row r="305" customFormat="false" ht="12.75" hidden="false" customHeight="true" outlineLevel="0" collapsed="false">
      <c r="A305" s="19" t="s">
        <v>366</v>
      </c>
      <c r="B305" s="27" t="s">
        <v>418</v>
      </c>
      <c r="C305" s="21" t="n">
        <v>1571</v>
      </c>
      <c r="D305" s="21" t="n">
        <v>1640</v>
      </c>
      <c r="E305" s="22" t="str">
        <f aca="false">IF(C305=D305,"событие",IF(D305&gt;=2026,IF(A305="Личности","жив","существует"),"в прошлом"))</f>
        <v>в прошлом</v>
      </c>
      <c r="F305" s="23" t="n">
        <f aca="false">IF(C305=D305,"",D305-C305)</f>
        <v>69</v>
      </c>
      <c r="G305" s="23"/>
      <c r="H305" s="19" t="s">
        <v>274</v>
      </c>
      <c r="I305" s="24"/>
      <c r="M305" s="25"/>
      <c r="W305" s="25"/>
      <c r="AG305" s="25"/>
      <c r="AQ305" s="25"/>
      <c r="BA305" s="25"/>
      <c r="BK305" s="25"/>
      <c r="BU305" s="25"/>
      <c r="CE305" s="25"/>
      <c r="CO305" s="25"/>
      <c r="CY305" s="25"/>
      <c r="DI305" s="25"/>
      <c r="DS305" s="25"/>
      <c r="EC305" s="25"/>
      <c r="EM305" s="25"/>
      <c r="EW305" s="25"/>
      <c r="EZ305" s="54" t="str">
        <f aca="false">IF(AND(D305&gt;=2026,C305&lt;D305),"▶","")</f>
        <v/>
      </c>
    </row>
    <row r="306" customFormat="false" ht="12.75" hidden="false" customHeight="true" outlineLevel="0" collapsed="false">
      <c r="A306" s="19" t="s">
        <v>366</v>
      </c>
      <c r="B306" s="27" t="s">
        <v>419</v>
      </c>
      <c r="C306" s="21" t="n">
        <v>1627</v>
      </c>
      <c r="D306" s="21" t="n">
        <v>1699</v>
      </c>
      <c r="E306" s="22" t="str">
        <f aca="false">IF(C306=D306,"событие",IF(D306&gt;=2026,IF(A306="Личности","жив","существует"),"в прошлом"))</f>
        <v>в прошлом</v>
      </c>
      <c r="F306" s="23" t="n">
        <f aca="false">IF(C306=D306,"",D306-C306)</f>
        <v>72</v>
      </c>
      <c r="G306" s="23"/>
      <c r="H306" s="19" t="s">
        <v>150</v>
      </c>
      <c r="I306" s="24"/>
      <c r="M306" s="25"/>
      <c r="W306" s="25"/>
      <c r="AG306" s="25"/>
      <c r="AQ306" s="25"/>
      <c r="BA306" s="25"/>
      <c r="BK306" s="25"/>
      <c r="BU306" s="25"/>
      <c r="CE306" s="25"/>
      <c r="CO306" s="25"/>
      <c r="CY306" s="25"/>
      <c r="DI306" s="25"/>
      <c r="DS306" s="25"/>
      <c r="EC306" s="25"/>
      <c r="EM306" s="25"/>
      <c r="EW306" s="25"/>
      <c r="EZ306" s="35" t="str">
        <f aca="false">IF(AND(D306&gt;=2026,C306&lt;D306),"▶","")</f>
        <v/>
      </c>
    </row>
    <row r="307" customFormat="false" ht="12.75" hidden="false" customHeight="true" outlineLevel="0" collapsed="false">
      <c r="A307" s="19" t="s">
        <v>366</v>
      </c>
      <c r="B307" s="27" t="s">
        <v>420</v>
      </c>
      <c r="C307" s="21" t="n">
        <v>1703</v>
      </c>
      <c r="D307" s="21" t="n">
        <v>1762</v>
      </c>
      <c r="E307" s="22" t="str">
        <f aca="false">IF(C307=D307,"событие",IF(D307&gt;=2026,IF(A307="Личности","жив","существует"),"в прошлом"))</f>
        <v>в прошлом</v>
      </c>
      <c r="F307" s="23" t="n">
        <f aca="false">IF(C307=D307,"",D307-C307)</f>
        <v>59</v>
      </c>
      <c r="G307" s="23"/>
      <c r="H307" s="19" t="s">
        <v>182</v>
      </c>
      <c r="I307" s="24"/>
      <c r="M307" s="25"/>
      <c r="W307" s="25"/>
      <c r="AG307" s="25"/>
      <c r="AQ307" s="25"/>
      <c r="BA307" s="25"/>
      <c r="BK307" s="25"/>
      <c r="BU307" s="25"/>
      <c r="CE307" s="25"/>
      <c r="CO307" s="25"/>
      <c r="CY307" s="25"/>
      <c r="DI307" s="25"/>
      <c r="DS307" s="25"/>
      <c r="EC307" s="25"/>
      <c r="EM307" s="25"/>
      <c r="EW307" s="25"/>
      <c r="EZ307" s="36" t="str">
        <f aca="false">IF(AND(D307&gt;=2026,C307&lt;D307),"▶","")</f>
        <v/>
      </c>
    </row>
    <row r="308" customFormat="false" ht="12.75" hidden="false" customHeight="true" outlineLevel="0" collapsed="false">
      <c r="A308" s="19" t="s">
        <v>366</v>
      </c>
      <c r="B308" s="27" t="s">
        <v>421</v>
      </c>
      <c r="C308" s="21" t="n">
        <v>1703</v>
      </c>
      <c r="D308" s="21" t="n">
        <v>1792</v>
      </c>
      <c r="E308" s="22" t="str">
        <f aca="false">IF(C308=D308,"событие",IF(D308&gt;=2026,IF(A308="Личности","жив","существует"),"в прошлом"))</f>
        <v>в прошлом</v>
      </c>
      <c r="F308" s="23" t="n">
        <f aca="false">IF(C308=D308,"",D308-C308)</f>
        <v>89</v>
      </c>
      <c r="G308" s="23"/>
      <c r="H308" s="19" t="s">
        <v>182</v>
      </c>
      <c r="I308" s="24"/>
      <c r="M308" s="25"/>
      <c r="W308" s="25"/>
      <c r="AG308" s="25"/>
      <c r="AQ308" s="25"/>
      <c r="BA308" s="25"/>
      <c r="BK308" s="25"/>
      <c r="BU308" s="25"/>
      <c r="CE308" s="25"/>
      <c r="CO308" s="25"/>
      <c r="CY308" s="25"/>
      <c r="DI308" s="25"/>
      <c r="DS308" s="25"/>
      <c r="EC308" s="25"/>
      <c r="EM308" s="25"/>
      <c r="EW308" s="25"/>
      <c r="EZ308" s="36" t="str">
        <f aca="false">IF(AND(D308&gt;=2026,C308&lt;D308),"▶","")</f>
        <v/>
      </c>
    </row>
    <row r="309" customFormat="false" ht="12.75" hidden="false" customHeight="true" outlineLevel="0" collapsed="false">
      <c r="A309" s="19" t="s">
        <v>366</v>
      </c>
      <c r="B309" s="27" t="s">
        <v>422</v>
      </c>
      <c r="C309" s="21" t="n">
        <v>1753</v>
      </c>
      <c r="D309" s="21" t="n">
        <v>1826</v>
      </c>
      <c r="E309" s="22" t="str">
        <f aca="false">IF(C309=D309,"событие",IF(D309&gt;=2026,IF(A309="Личности","жив","существует"),"в прошлом"))</f>
        <v>в прошлом</v>
      </c>
      <c r="F309" s="23" t="n">
        <f aca="false">IF(C309=D309,"",D309-C309)</f>
        <v>73</v>
      </c>
      <c r="G309" s="23"/>
      <c r="H309" s="19" t="s">
        <v>150</v>
      </c>
      <c r="I309" s="24"/>
      <c r="M309" s="25"/>
      <c r="W309" s="25"/>
      <c r="AG309" s="25"/>
      <c r="AQ309" s="25"/>
      <c r="BA309" s="25"/>
      <c r="BK309" s="25"/>
      <c r="BU309" s="25"/>
      <c r="CE309" s="25"/>
      <c r="CO309" s="25"/>
      <c r="CY309" s="25"/>
      <c r="DI309" s="25"/>
      <c r="DS309" s="25"/>
      <c r="EC309" s="25"/>
      <c r="EM309" s="25"/>
      <c r="EW309" s="25"/>
      <c r="EZ309" s="35" t="str">
        <f aca="false">IF(AND(D309&gt;=2026,C309&lt;D309),"▶","")</f>
        <v/>
      </c>
    </row>
    <row r="310" customFormat="false" ht="12.75" hidden="false" customHeight="true" outlineLevel="0" collapsed="false">
      <c r="A310" s="19" t="s">
        <v>366</v>
      </c>
      <c r="B310" s="27" t="s">
        <v>423</v>
      </c>
      <c r="C310" s="21" t="n">
        <v>1754</v>
      </c>
      <c r="D310" s="21" t="n">
        <v>1817</v>
      </c>
      <c r="E310" s="22" t="str">
        <f aca="false">IF(C310=D310,"событие",IF(D310&gt;=2026,IF(A310="Личности","жив","существует"),"в прошлом"))</f>
        <v>в прошлом</v>
      </c>
      <c r="F310" s="23" t="n">
        <f aca="false">IF(C310=D310,"",D310-C310)</f>
        <v>63</v>
      </c>
      <c r="G310" s="23"/>
      <c r="H310" s="19" t="s">
        <v>139</v>
      </c>
      <c r="I310" s="24"/>
      <c r="M310" s="25"/>
      <c r="W310" s="25"/>
      <c r="AG310" s="25"/>
      <c r="AQ310" s="25"/>
      <c r="BA310" s="25"/>
      <c r="BK310" s="25"/>
      <c r="BU310" s="25"/>
      <c r="CE310" s="25"/>
      <c r="CO310" s="25"/>
      <c r="CY310" s="25"/>
      <c r="DI310" s="25"/>
      <c r="DS310" s="25"/>
      <c r="EC310" s="25"/>
      <c r="EM310" s="25"/>
      <c r="EW310" s="25"/>
      <c r="EZ310" s="32" t="str">
        <f aca="false">IF(AND(D310&gt;=2026,C310&lt;D310),"▶","")</f>
        <v/>
      </c>
    </row>
    <row r="311" customFormat="false" ht="12.75" hidden="false" customHeight="true" outlineLevel="0" collapsed="false">
      <c r="A311" s="19" t="s">
        <v>366</v>
      </c>
      <c r="B311" s="27" t="s">
        <v>424</v>
      </c>
      <c r="C311" s="21" t="n">
        <v>1797</v>
      </c>
      <c r="D311" s="21" t="n">
        <v>1871</v>
      </c>
      <c r="E311" s="22" t="str">
        <f aca="false">IF(C311=D311,"событие",IF(D311&gt;=2026,IF(A311="Личности","жив","существует"),"в прошлом"))</f>
        <v>в прошлом</v>
      </c>
      <c r="F311" s="23" t="n">
        <f aca="false">IF(C311=D311,"",D311-C311)</f>
        <v>74</v>
      </c>
      <c r="G311" s="23"/>
      <c r="H311" s="19" t="s">
        <v>291</v>
      </c>
      <c r="I311" s="24"/>
      <c r="M311" s="25"/>
      <c r="W311" s="25"/>
      <c r="AG311" s="25"/>
      <c r="AQ311" s="25"/>
      <c r="BA311" s="25"/>
      <c r="BK311" s="25"/>
      <c r="BU311" s="25"/>
      <c r="CE311" s="25"/>
      <c r="CO311" s="25"/>
      <c r="CY311" s="25"/>
      <c r="DI311" s="25"/>
      <c r="DS311" s="25"/>
      <c r="EC311" s="25"/>
      <c r="EM311" s="25"/>
      <c r="EW311" s="25"/>
      <c r="EZ311" s="59" t="str">
        <f aca="false">IF(AND(D311&gt;=2026,C311&lt;D311),"▶","")</f>
        <v/>
      </c>
    </row>
    <row r="312" customFormat="false" ht="12.75" hidden="false" customHeight="true" outlineLevel="0" collapsed="false">
      <c r="A312" s="19" t="s">
        <v>366</v>
      </c>
      <c r="B312" s="27" t="s">
        <v>425</v>
      </c>
      <c r="C312" s="21" t="n">
        <v>1808</v>
      </c>
      <c r="D312" s="21" t="n">
        <v>1883</v>
      </c>
      <c r="E312" s="22" t="str">
        <f aca="false">IF(C312=D312,"событие",IF(D312&gt;=2026,IF(A312="Личности","жив","существует"),"в прошлом"))</f>
        <v>в прошлом</v>
      </c>
      <c r="F312" s="23" t="n">
        <f aca="false">IF(C312=D312,"",D312-C312)</f>
        <v>75</v>
      </c>
      <c r="G312" s="23"/>
      <c r="H312" s="19" t="s">
        <v>291</v>
      </c>
      <c r="I312" s="24"/>
      <c r="M312" s="25"/>
      <c r="W312" s="25"/>
      <c r="AG312" s="25"/>
      <c r="AQ312" s="25"/>
      <c r="BA312" s="25"/>
      <c r="BK312" s="25"/>
      <c r="BU312" s="25"/>
      <c r="CE312" s="25"/>
      <c r="CO312" s="25"/>
      <c r="CY312" s="25"/>
      <c r="DI312" s="25"/>
      <c r="DS312" s="25"/>
      <c r="EC312" s="25"/>
      <c r="EM312" s="25"/>
      <c r="EW312" s="25"/>
      <c r="EZ312" s="59" t="str">
        <f aca="false">IF(AND(D312&gt;=2026,C312&lt;D312),"▶","")</f>
        <v/>
      </c>
    </row>
    <row r="313" customFormat="false" ht="12.75" hidden="false" customHeight="true" outlineLevel="0" collapsed="false">
      <c r="A313" s="19" t="s">
        <v>366</v>
      </c>
      <c r="B313" s="27" t="s">
        <v>426</v>
      </c>
      <c r="C313" s="21" t="n">
        <v>1817</v>
      </c>
      <c r="D313" s="21" t="n">
        <v>1892</v>
      </c>
      <c r="E313" s="22" t="str">
        <f aca="false">IF(C313=D313,"событие",IF(D313&gt;=2026,IF(A313="Личности","жив","существует"),"в прошлом"))</f>
        <v>в прошлом</v>
      </c>
      <c r="F313" s="23" t="n">
        <f aca="false">IF(C313=D313,"",D313-C313)</f>
        <v>75</v>
      </c>
      <c r="G313" s="23"/>
      <c r="H313" s="19" t="s">
        <v>216</v>
      </c>
      <c r="I313" s="24"/>
      <c r="M313" s="25"/>
      <c r="W313" s="25"/>
      <c r="AG313" s="25"/>
      <c r="AQ313" s="25"/>
      <c r="BA313" s="25"/>
      <c r="BK313" s="25"/>
      <c r="BU313" s="25"/>
      <c r="CE313" s="25"/>
      <c r="CO313" s="25"/>
      <c r="CY313" s="25"/>
      <c r="DI313" s="25"/>
      <c r="DS313" s="25"/>
      <c r="EC313" s="25"/>
      <c r="EM313" s="25"/>
      <c r="EW313" s="25"/>
      <c r="EZ313" s="45" t="str">
        <f aca="false">IF(AND(D313&gt;=2026,C313&lt;D313),"▶","")</f>
        <v/>
      </c>
    </row>
    <row r="314" customFormat="false" ht="12.75" hidden="false" customHeight="true" outlineLevel="0" collapsed="false">
      <c r="A314" s="19" t="s">
        <v>366</v>
      </c>
      <c r="B314" s="27" t="s">
        <v>427</v>
      </c>
      <c r="C314" s="21" t="n">
        <v>1819</v>
      </c>
      <c r="D314" s="21" t="n">
        <v>1850</v>
      </c>
      <c r="E314" s="22" t="str">
        <f aca="false">IF(C314=D314,"событие",IF(D314&gt;=2026,IF(A314="Личности","жив","существует"),"в прошлом"))</f>
        <v>в прошлом</v>
      </c>
      <c r="F314" s="23" t="n">
        <f aca="false">IF(C314=D314,"",D314-C314)</f>
        <v>31</v>
      </c>
      <c r="G314" s="23"/>
      <c r="H314" s="19" t="s">
        <v>216</v>
      </c>
      <c r="I314" s="24"/>
      <c r="M314" s="25"/>
      <c r="W314" s="25"/>
      <c r="AG314" s="25"/>
      <c r="AQ314" s="25"/>
      <c r="BA314" s="25"/>
      <c r="BK314" s="25"/>
      <c r="BU314" s="25"/>
      <c r="CE314" s="25"/>
      <c r="CO314" s="25"/>
      <c r="CY314" s="25"/>
      <c r="DI314" s="25"/>
      <c r="DS314" s="25"/>
      <c r="EC314" s="25"/>
      <c r="EM314" s="25"/>
      <c r="EW314" s="25"/>
      <c r="EZ314" s="45" t="str">
        <f aca="false">IF(AND(D314&gt;=2026,C314&lt;D314),"▶","")</f>
        <v/>
      </c>
    </row>
    <row r="315" customFormat="false" ht="12.75" hidden="false" customHeight="true" outlineLevel="0" collapsed="false">
      <c r="A315" s="19" t="s">
        <v>366</v>
      </c>
      <c r="B315" s="27" t="s">
        <v>428</v>
      </c>
      <c r="C315" s="21" t="n">
        <v>1835</v>
      </c>
      <c r="D315" s="21" t="n">
        <v>1908</v>
      </c>
      <c r="E315" s="22" t="str">
        <f aca="false">IF(C315=D315,"событие",IF(D315&gt;=2026,IF(A315="Личности","жив","существует"),"в прошлом"))</f>
        <v>в прошлом</v>
      </c>
      <c r="F315" s="23" t="n">
        <f aca="false">IF(C315=D315,"",D315-C315)</f>
        <v>73</v>
      </c>
      <c r="G315" s="23"/>
      <c r="H315" s="19" t="s">
        <v>216</v>
      </c>
      <c r="I315" s="24"/>
      <c r="M315" s="25"/>
      <c r="W315" s="25"/>
      <c r="AG315" s="25"/>
      <c r="AQ315" s="25"/>
      <c r="BA315" s="25"/>
      <c r="BK315" s="25"/>
      <c r="BU315" s="25"/>
      <c r="CE315" s="25"/>
      <c r="CO315" s="25"/>
      <c r="CY315" s="25"/>
      <c r="DI315" s="25"/>
      <c r="DS315" s="25"/>
      <c r="EC315" s="25"/>
      <c r="EM315" s="25"/>
      <c r="EW315" s="25"/>
      <c r="EZ315" s="45" t="str">
        <f aca="false">IF(AND(D315&gt;=2026,C315&lt;D315),"▶","")</f>
        <v/>
      </c>
    </row>
    <row r="316" customFormat="false" ht="12.75" hidden="false" customHeight="true" outlineLevel="0" collapsed="false">
      <c r="A316" s="19" t="s">
        <v>366</v>
      </c>
      <c r="B316" s="27" t="s">
        <v>429</v>
      </c>
      <c r="C316" s="21" t="n">
        <v>1838</v>
      </c>
      <c r="D316" s="21" t="n">
        <v>1897</v>
      </c>
      <c r="E316" s="22" t="str">
        <f aca="false">IF(C316=D316,"событие",IF(D316&gt;=2026,IF(A316="Личности","жив","существует"),"в прошлом"))</f>
        <v>в прошлом</v>
      </c>
      <c r="F316" s="23" t="n">
        <f aca="false">IF(C316=D316,"",D316-C316)</f>
        <v>59</v>
      </c>
      <c r="G316" s="23"/>
      <c r="H316" s="19" t="s">
        <v>182</v>
      </c>
      <c r="I316" s="24"/>
      <c r="M316" s="25"/>
      <c r="W316" s="25"/>
      <c r="AG316" s="25"/>
      <c r="AQ316" s="25"/>
      <c r="BA316" s="25"/>
      <c r="BK316" s="25"/>
      <c r="BU316" s="25"/>
      <c r="CE316" s="25"/>
      <c r="CO316" s="25"/>
      <c r="CY316" s="25"/>
      <c r="DI316" s="25"/>
      <c r="DS316" s="25"/>
      <c r="EC316" s="25"/>
      <c r="EM316" s="25"/>
      <c r="EW316" s="25"/>
      <c r="EZ316" s="36" t="str">
        <f aca="false">IF(AND(D316&gt;=2026,C316&lt;D316),"▶","")</f>
        <v/>
      </c>
    </row>
    <row r="317" customFormat="false" ht="12.75" hidden="false" customHeight="true" outlineLevel="0" collapsed="false">
      <c r="A317" s="19" t="s">
        <v>366</v>
      </c>
      <c r="B317" s="27" t="s">
        <v>430</v>
      </c>
      <c r="C317" s="21" t="n">
        <v>1845</v>
      </c>
      <c r="D317" s="21" t="n">
        <v>1904</v>
      </c>
      <c r="E317" s="22" t="str">
        <f aca="false">IF(C317=D317,"событие",IF(D317&gt;=2026,IF(A317="Личности","жив","существует"),"в прошлом"))</f>
        <v>в прошлом</v>
      </c>
      <c r="F317" s="23" t="n">
        <f aca="false">IF(C317=D317,"",D317-C317)</f>
        <v>59</v>
      </c>
      <c r="G317" s="23"/>
      <c r="H317" s="19" t="s">
        <v>139</v>
      </c>
      <c r="I317" s="24"/>
      <c r="M317" s="25"/>
      <c r="W317" s="25"/>
      <c r="AG317" s="25"/>
      <c r="AQ317" s="25"/>
      <c r="BA317" s="25"/>
      <c r="BK317" s="25"/>
      <c r="BU317" s="25"/>
      <c r="CE317" s="25"/>
      <c r="CO317" s="25"/>
      <c r="CY317" s="25"/>
      <c r="DI317" s="25"/>
      <c r="DS317" s="25"/>
      <c r="EC317" s="25"/>
      <c r="EM317" s="25"/>
      <c r="EW317" s="25"/>
      <c r="EZ317" s="32" t="str">
        <f aca="false">IF(AND(D317&gt;=2026,C317&lt;D317),"▶","")</f>
        <v/>
      </c>
    </row>
    <row r="318" customFormat="false" ht="12.75" hidden="false" customHeight="true" outlineLevel="0" collapsed="false">
      <c r="A318" s="19" t="s">
        <v>366</v>
      </c>
      <c r="B318" s="27" t="s">
        <v>431</v>
      </c>
      <c r="C318" s="21" t="n">
        <v>1849</v>
      </c>
      <c r="D318" s="21" t="n">
        <v>1905</v>
      </c>
      <c r="E318" s="22" t="str">
        <f aca="false">IF(C318=D318,"событие",IF(D318&gt;=2026,IF(A318="Личности","жив","существует"),"в прошлом"))</f>
        <v>в прошлом</v>
      </c>
      <c r="F318" s="23" t="n">
        <f aca="false">IF(C318=D318,"",D318-C318)</f>
        <v>56</v>
      </c>
      <c r="G318" s="23"/>
      <c r="H318" s="19" t="s">
        <v>182</v>
      </c>
      <c r="I318" s="24"/>
      <c r="M318" s="25"/>
      <c r="W318" s="25"/>
      <c r="AG318" s="25"/>
      <c r="AQ318" s="25"/>
      <c r="BA318" s="25"/>
      <c r="BK318" s="25"/>
      <c r="BU318" s="25"/>
      <c r="CE318" s="25"/>
      <c r="CO318" s="25"/>
      <c r="CY318" s="25"/>
      <c r="DI318" s="25"/>
      <c r="DS318" s="25"/>
      <c r="EC318" s="25"/>
      <c r="EM318" s="25"/>
      <c r="EW318" s="25"/>
      <c r="EZ318" s="36" t="str">
        <f aca="false">IF(AND(D318&gt;=2026,C318&lt;D318),"▶","")</f>
        <v/>
      </c>
    </row>
    <row r="319" customFormat="false" ht="12.75" hidden="false" customHeight="true" outlineLevel="0" collapsed="false">
      <c r="A319" s="19" t="s">
        <v>366</v>
      </c>
      <c r="B319" s="27" t="s">
        <v>432</v>
      </c>
      <c r="C319" s="21" t="n">
        <v>1851</v>
      </c>
      <c r="D319" s="21" t="n">
        <v>1914</v>
      </c>
      <c r="E319" s="22" t="str">
        <f aca="false">IF(C319=D319,"событие",IF(D319&gt;=2026,IF(A319="Личности","жив","существует"),"в прошлом"))</f>
        <v>в прошлом</v>
      </c>
      <c r="F319" s="23" t="n">
        <f aca="false">IF(C319=D319,"",D319-C319)</f>
        <v>63</v>
      </c>
      <c r="G319" s="23"/>
      <c r="H319" s="19" t="s">
        <v>182</v>
      </c>
      <c r="I319" s="24"/>
      <c r="M319" s="25"/>
      <c r="W319" s="25"/>
      <c r="AG319" s="25"/>
      <c r="AQ319" s="25"/>
      <c r="BA319" s="25"/>
      <c r="BK319" s="25"/>
      <c r="BU319" s="25"/>
      <c r="CE319" s="25"/>
      <c r="CO319" s="25"/>
      <c r="CY319" s="25"/>
      <c r="DI319" s="25"/>
      <c r="DS319" s="25"/>
      <c r="EC319" s="25"/>
      <c r="EM319" s="25"/>
      <c r="EW319" s="25"/>
      <c r="EZ319" s="36" t="str">
        <f aca="false">IF(AND(D319&gt;=2026,C319&lt;D319),"▶","")</f>
        <v/>
      </c>
    </row>
    <row r="320" customFormat="false" ht="12.75" hidden="false" customHeight="true" outlineLevel="0" collapsed="false">
      <c r="A320" s="19" t="s">
        <v>366</v>
      </c>
      <c r="B320" s="27" t="s">
        <v>433</v>
      </c>
      <c r="C320" s="21" t="n">
        <v>1856</v>
      </c>
      <c r="D320" s="21" t="n">
        <v>1921</v>
      </c>
      <c r="E320" s="22" t="str">
        <f aca="false">IF(C320=D320,"событие",IF(D320&gt;=2026,IF(A320="Личности","жив","существует"),"в прошлом"))</f>
        <v>в прошлом</v>
      </c>
      <c r="F320" s="23" t="n">
        <f aca="false">IF(C320=D320,"",D320-C320)</f>
        <v>65</v>
      </c>
      <c r="G320" s="23"/>
      <c r="H320" s="19" t="s">
        <v>291</v>
      </c>
      <c r="I320" s="24"/>
      <c r="M320" s="25"/>
      <c r="W320" s="25"/>
      <c r="AG320" s="25"/>
      <c r="AQ320" s="25"/>
      <c r="BA320" s="25"/>
      <c r="BK320" s="25"/>
      <c r="BU320" s="25"/>
      <c r="CE320" s="25"/>
      <c r="CO320" s="25"/>
      <c r="CY320" s="25"/>
      <c r="DI320" s="25"/>
      <c r="DS320" s="25"/>
      <c r="EC320" s="25"/>
      <c r="EM320" s="25"/>
      <c r="EW320" s="25"/>
      <c r="EZ320" s="59" t="str">
        <f aca="false">IF(AND(D320&gt;=2026,C320&lt;D320),"▶","")</f>
        <v/>
      </c>
    </row>
    <row r="321" customFormat="false" ht="12.75" hidden="false" customHeight="true" outlineLevel="0" collapsed="false">
      <c r="A321" s="19" t="s">
        <v>366</v>
      </c>
      <c r="B321" s="27" t="s">
        <v>434</v>
      </c>
      <c r="C321" s="21" t="n">
        <v>1877</v>
      </c>
      <c r="D321" s="21" t="n">
        <v>1938</v>
      </c>
      <c r="E321" s="22" t="str">
        <f aca="false">IF(C321=D321,"событие",IF(D321&gt;=2026,IF(A321="Личности","жив","существует"),"в прошлом"))</f>
        <v>в прошлом</v>
      </c>
      <c r="F321" s="23" t="n">
        <f aca="false">IF(C321=D321,"",D321-C321)</f>
        <v>61</v>
      </c>
      <c r="G321" s="23"/>
      <c r="H321" s="19" t="s">
        <v>182</v>
      </c>
      <c r="I321" s="24"/>
      <c r="M321" s="25"/>
      <c r="W321" s="25"/>
      <c r="AG321" s="25"/>
      <c r="AQ321" s="25"/>
      <c r="BA321" s="25"/>
      <c r="BK321" s="25"/>
      <c r="BU321" s="25"/>
      <c r="CE321" s="25"/>
      <c r="CO321" s="25"/>
      <c r="CY321" s="25"/>
      <c r="DI321" s="25"/>
      <c r="DS321" s="25"/>
      <c r="EC321" s="25"/>
      <c r="EM321" s="25"/>
      <c r="EW321" s="25"/>
      <c r="EZ321" s="36" t="str">
        <f aca="false">IF(AND(D321&gt;=2026,C321&lt;D321),"▶","")</f>
        <v/>
      </c>
    </row>
    <row r="322" customFormat="false" ht="12.75" hidden="false" customHeight="true" outlineLevel="0" collapsed="false">
      <c r="A322" s="19" t="s">
        <v>366</v>
      </c>
      <c r="B322" s="27" t="s">
        <v>435</v>
      </c>
      <c r="C322" s="21" t="n">
        <v>1877</v>
      </c>
      <c r="D322" s="21" t="n">
        <v>1960</v>
      </c>
      <c r="E322" s="22" t="str">
        <f aca="false">IF(C322=D322,"событие",IF(D322&gt;=2026,IF(A322="Личности","жив","существует"),"в прошлом"))</f>
        <v>в прошлом</v>
      </c>
      <c r="F322" s="23" t="n">
        <f aca="false">IF(C322=D322,"",D322-C322)</f>
        <v>83</v>
      </c>
      <c r="G322" s="23"/>
      <c r="H322" s="19" t="s">
        <v>182</v>
      </c>
      <c r="I322" s="24"/>
      <c r="M322" s="25"/>
      <c r="W322" s="25"/>
      <c r="AG322" s="25"/>
      <c r="AQ322" s="25"/>
      <c r="BA322" s="25"/>
      <c r="BK322" s="25"/>
      <c r="BU322" s="25"/>
      <c r="CE322" s="25"/>
      <c r="CO322" s="25"/>
      <c r="CY322" s="25"/>
      <c r="DI322" s="25"/>
      <c r="DS322" s="25"/>
      <c r="EC322" s="25"/>
      <c r="EM322" s="25"/>
      <c r="EW322" s="25"/>
      <c r="EZ322" s="36" t="str">
        <f aca="false">IF(AND(D322&gt;=2026,C322&lt;D322),"▶","")</f>
        <v/>
      </c>
    </row>
    <row r="323" customFormat="false" ht="12.75" hidden="false" customHeight="true" outlineLevel="0" collapsed="false">
      <c r="A323" s="19" t="s">
        <v>366</v>
      </c>
      <c r="B323" s="27" t="s">
        <v>436</v>
      </c>
      <c r="C323" s="21" t="n">
        <v>1902</v>
      </c>
      <c r="D323" s="21" t="n">
        <v>1989</v>
      </c>
      <c r="E323" s="22" t="str">
        <f aca="false">IF(C323=D323,"событие",IF(D323&gt;=2026,IF(A323="Личности","жив","существует"),"в прошлом"))</f>
        <v>в прошлом</v>
      </c>
      <c r="F323" s="23" t="n">
        <f aca="false">IF(C323=D323,"",D323-C323)</f>
        <v>87</v>
      </c>
      <c r="G323" s="23"/>
      <c r="H323" s="19" t="s">
        <v>150</v>
      </c>
      <c r="I323" s="24"/>
      <c r="M323" s="25"/>
      <c r="W323" s="25"/>
      <c r="AG323" s="25"/>
      <c r="AQ323" s="25"/>
      <c r="BA323" s="25"/>
      <c r="BK323" s="25"/>
      <c r="BU323" s="25"/>
      <c r="CE323" s="25"/>
      <c r="CO323" s="25"/>
      <c r="CY323" s="25"/>
      <c r="DI323" s="25"/>
      <c r="DS323" s="25"/>
      <c r="EC323" s="25"/>
      <c r="EM323" s="25"/>
      <c r="EW323" s="25"/>
      <c r="EZ323" s="35" t="str">
        <f aca="false">IF(AND(D323&gt;=2026,C323&lt;D323),"▶","")</f>
        <v/>
      </c>
    </row>
    <row r="324" customFormat="false" ht="12.75" hidden="false" customHeight="true" outlineLevel="0" collapsed="false">
      <c r="A324" s="19" t="s">
        <v>366</v>
      </c>
      <c r="B324" s="27" t="s">
        <v>437</v>
      </c>
      <c r="C324" s="21" t="n">
        <v>1903</v>
      </c>
      <c r="D324" s="21" t="n">
        <v>1979</v>
      </c>
      <c r="E324" s="22" t="str">
        <f aca="false">IF(C324=D324,"событие",IF(D324&gt;=2026,IF(A324="Личности","жив","существует"),"в прошлом"))</f>
        <v>в прошлом</v>
      </c>
      <c r="F324" s="23" t="n">
        <f aca="false">IF(C324=D324,"",D324-C324)</f>
        <v>76</v>
      </c>
      <c r="G324" s="23"/>
      <c r="H324" s="19" t="s">
        <v>438</v>
      </c>
      <c r="I324" s="24"/>
      <c r="M324" s="25"/>
      <c r="W324" s="25"/>
      <c r="AG324" s="25"/>
      <c r="AQ324" s="25"/>
      <c r="BA324" s="25"/>
      <c r="BK324" s="25"/>
      <c r="BU324" s="25"/>
      <c r="CE324" s="25"/>
      <c r="CO324" s="25"/>
      <c r="CY324" s="25"/>
      <c r="DI324" s="25"/>
      <c r="DS324" s="25"/>
      <c r="EC324" s="25"/>
      <c r="EM324" s="25"/>
      <c r="EW324" s="25"/>
      <c r="EZ324" s="36" t="str">
        <f aca="false">IF(AND(D324&gt;=2026,C324&lt;D324),"▶","")</f>
        <v/>
      </c>
    </row>
    <row r="325" customFormat="false" ht="12.75" hidden="false" customHeight="true" outlineLevel="0" collapsed="false">
      <c r="A325" s="19" t="s">
        <v>366</v>
      </c>
      <c r="B325" s="27" t="s">
        <v>439</v>
      </c>
      <c r="C325" s="21" t="n">
        <v>1906</v>
      </c>
      <c r="D325" s="21" t="n">
        <v>1949</v>
      </c>
      <c r="E325" s="22" t="str">
        <f aca="false">IF(C325=D325,"событие",IF(D325&gt;=2026,IF(A325="Личности","жив","существует"),"в прошлом"))</f>
        <v>в прошлом</v>
      </c>
      <c r="F325" s="23" t="n">
        <f aca="false">IF(C325=D325,"",D325-C325)</f>
        <v>43</v>
      </c>
      <c r="G325" s="23"/>
      <c r="H325" s="19" t="s">
        <v>438</v>
      </c>
      <c r="I325" s="24"/>
      <c r="M325" s="25"/>
      <c r="W325" s="25"/>
      <c r="AG325" s="25"/>
      <c r="AQ325" s="25"/>
      <c r="BA325" s="25"/>
      <c r="BK325" s="25"/>
      <c r="BU325" s="25"/>
      <c r="CE325" s="25"/>
      <c r="CO325" s="25"/>
      <c r="CY325" s="25"/>
      <c r="DI325" s="25"/>
      <c r="DS325" s="25"/>
      <c r="EC325" s="25"/>
      <c r="EM325" s="25"/>
      <c r="EW325" s="25"/>
      <c r="EZ325" s="36" t="str">
        <f aca="false">IF(AND(D325&gt;=2026,C325&lt;D325),"▶","")</f>
        <v/>
      </c>
    </row>
    <row r="326" customFormat="false" ht="12.75" hidden="false" customHeight="true" outlineLevel="0" collapsed="false">
      <c r="A326" s="19" t="s">
        <v>366</v>
      </c>
      <c r="B326" s="27" t="s">
        <v>440</v>
      </c>
      <c r="C326" s="21" t="n">
        <v>1906</v>
      </c>
      <c r="D326" s="21" t="n">
        <v>1966</v>
      </c>
      <c r="E326" s="22" t="str">
        <f aca="false">IF(C326=D326,"событие",IF(D326&gt;=2026,IF(A326="Личности","жив","существует"),"в прошлом"))</f>
        <v>в прошлом</v>
      </c>
      <c r="F326" s="23" t="n">
        <f aca="false">IF(C326=D326,"",D326-C326)</f>
        <v>60</v>
      </c>
      <c r="G326" s="23"/>
      <c r="H326" s="19" t="s">
        <v>438</v>
      </c>
      <c r="I326" s="24"/>
      <c r="M326" s="25"/>
      <c r="W326" s="25"/>
      <c r="AG326" s="25"/>
      <c r="AQ326" s="25"/>
      <c r="BA326" s="25"/>
      <c r="BK326" s="25"/>
      <c r="BU326" s="25"/>
      <c r="CE326" s="25"/>
      <c r="CO326" s="25"/>
      <c r="CY326" s="25"/>
      <c r="DI326" s="25"/>
      <c r="DS326" s="25"/>
      <c r="EC326" s="25"/>
      <c r="EM326" s="25"/>
      <c r="EW326" s="25"/>
      <c r="EZ326" s="36" t="str">
        <f aca="false">IF(AND(D326&gt;=2026,C326&lt;D326),"▶","")</f>
        <v/>
      </c>
    </row>
    <row r="327" customFormat="false" ht="12.75" hidden="false" customHeight="true" outlineLevel="0" collapsed="false">
      <c r="A327" s="19" t="s">
        <v>366</v>
      </c>
      <c r="B327" s="27" t="s">
        <v>441</v>
      </c>
      <c r="C327" s="21" t="n">
        <v>1926</v>
      </c>
      <c r="D327" s="21" t="n">
        <v>2022</v>
      </c>
      <c r="E327" s="22" t="str">
        <f aca="false">IF(C327=D327,"событие",IF(D327&gt;=2026,IF(A327="Личности","жив","существует"),"в прошлом"))</f>
        <v>в прошлом</v>
      </c>
      <c r="F327" s="23" t="n">
        <f aca="false">IF(C327=D327,"",D327-C327)</f>
        <v>96</v>
      </c>
      <c r="G327" s="23"/>
      <c r="H327" s="19" t="s">
        <v>438</v>
      </c>
      <c r="I327" s="24"/>
      <c r="M327" s="25"/>
      <c r="W327" s="25"/>
      <c r="AG327" s="25"/>
      <c r="AQ327" s="25"/>
      <c r="BA327" s="25"/>
      <c r="BK327" s="25"/>
      <c r="BU327" s="25"/>
      <c r="CE327" s="25"/>
      <c r="CO327" s="25"/>
      <c r="CY327" s="25"/>
      <c r="DI327" s="25"/>
      <c r="DS327" s="25"/>
      <c r="EC327" s="25"/>
      <c r="EM327" s="25"/>
      <c r="EW327" s="25"/>
      <c r="EZ327" s="36" t="str">
        <f aca="false">IF(AND(D327&gt;=2026,C327&lt;D327),"▶","")</f>
        <v/>
      </c>
    </row>
    <row r="328" customFormat="false" ht="12.75" hidden="false" customHeight="true" outlineLevel="0" collapsed="false">
      <c r="A328" s="19" t="s">
        <v>366</v>
      </c>
      <c r="B328" s="27" t="s">
        <v>442</v>
      </c>
      <c r="C328" s="21" t="n">
        <v>1930</v>
      </c>
      <c r="D328" s="21" t="n">
        <v>2026</v>
      </c>
      <c r="E328" s="22" t="str">
        <f aca="false">IF(C328=D328,"событие",IF(D328&gt;=2026,IF(A328="Личности","жив","существует"),"в прошлом"))</f>
        <v>жив</v>
      </c>
      <c r="F328" s="23" t="n">
        <f aca="false">IF(C328=D328,"",D328-C328)</f>
        <v>96</v>
      </c>
      <c r="G328" s="23"/>
      <c r="H328" s="19" t="s">
        <v>150</v>
      </c>
      <c r="I328" s="24"/>
      <c r="M328" s="25"/>
      <c r="W328" s="25"/>
      <c r="AG328" s="25"/>
      <c r="AQ328" s="25"/>
      <c r="BA328" s="25"/>
      <c r="BK328" s="25"/>
      <c r="BU328" s="25"/>
      <c r="CE328" s="25"/>
      <c r="CO328" s="25"/>
      <c r="CY328" s="25"/>
      <c r="DI328" s="25"/>
      <c r="DS328" s="25"/>
      <c r="EC328" s="25"/>
      <c r="EM328" s="25"/>
      <c r="EW328" s="25"/>
      <c r="EZ328" s="35" t="str">
        <f aca="false">IF(AND(D328&gt;=2026,C328&lt;D328),"▶","")</f>
        <v>▶</v>
      </c>
    </row>
    <row r="329" customFormat="false" ht="12.75" hidden="false" customHeight="true" outlineLevel="0" collapsed="false">
      <c r="A329" s="19" t="s">
        <v>366</v>
      </c>
      <c r="B329" s="27" t="s">
        <v>443</v>
      </c>
      <c r="C329" s="21" t="n">
        <v>1936</v>
      </c>
      <c r="D329" s="21" t="n">
        <v>2025</v>
      </c>
      <c r="E329" s="22" t="str">
        <f aca="false">IF(C329=D329,"событие",IF(D329&gt;=2026,IF(A329="Личности","жив","существует"),"в прошлом"))</f>
        <v>в прошлом</v>
      </c>
      <c r="F329" s="23" t="n">
        <f aca="false">IF(C329=D329,"",D329-C329)</f>
        <v>89</v>
      </c>
      <c r="G329" s="23"/>
      <c r="H329" s="19" t="s">
        <v>150</v>
      </c>
      <c r="I329" s="24"/>
      <c r="M329" s="25"/>
      <c r="W329" s="25"/>
      <c r="AG329" s="25"/>
      <c r="AQ329" s="25"/>
      <c r="BA329" s="25"/>
      <c r="BK329" s="25"/>
      <c r="BU329" s="25"/>
      <c r="CE329" s="25"/>
      <c r="CO329" s="25"/>
      <c r="CY329" s="25"/>
      <c r="DI329" s="25"/>
      <c r="DS329" s="25"/>
      <c r="EC329" s="25"/>
      <c r="EM329" s="25"/>
      <c r="EW329" s="25"/>
      <c r="EZ329" s="35" t="str">
        <f aca="false">IF(AND(D329&gt;=2026,C329&lt;D329),"▶","")</f>
        <v/>
      </c>
    </row>
    <row r="330" customFormat="false" ht="12.75" hidden="false" customHeight="true" outlineLevel="0" collapsed="false">
      <c r="A330" s="19" t="s">
        <v>366</v>
      </c>
      <c r="B330" s="27" t="s">
        <v>444</v>
      </c>
      <c r="C330" s="21" t="n">
        <v>1939</v>
      </c>
      <c r="D330" s="21" t="n">
        <v>2026</v>
      </c>
      <c r="E330" s="22" t="str">
        <f aca="false">IF(C330=D330,"событие",IF(D330&gt;=2026,IF(A330="Личности","жив","существует"),"в прошлом"))</f>
        <v>жив</v>
      </c>
      <c r="F330" s="23" t="n">
        <f aca="false">IF(C330=D330,"",D330-C330)</f>
        <v>87</v>
      </c>
      <c r="G330" s="23"/>
      <c r="H330" s="19" t="s">
        <v>150</v>
      </c>
      <c r="I330" s="24"/>
      <c r="M330" s="25"/>
      <c r="W330" s="25"/>
      <c r="AG330" s="25"/>
      <c r="AQ330" s="25"/>
      <c r="BA330" s="25"/>
      <c r="BK330" s="25"/>
      <c r="BU330" s="25"/>
      <c r="CE330" s="25"/>
      <c r="CO330" s="25"/>
      <c r="CY330" s="25"/>
      <c r="DI330" s="25"/>
      <c r="DS330" s="25"/>
      <c r="EC330" s="25"/>
      <c r="EM330" s="25"/>
      <c r="EW330" s="25"/>
      <c r="EZ330" s="35" t="str">
        <f aca="false">IF(AND(D330&gt;=2026,C330&lt;D330),"▶","")</f>
        <v>▶</v>
      </c>
    </row>
    <row r="331" customFormat="false" ht="12.75" hidden="false" customHeight="true" outlineLevel="0" collapsed="false">
      <c r="A331" s="19" t="s">
        <v>366</v>
      </c>
      <c r="B331" s="27" t="s">
        <v>445</v>
      </c>
      <c r="C331" s="21" t="n">
        <v>1941</v>
      </c>
      <c r="D331" s="21" t="n">
        <v>2024</v>
      </c>
      <c r="E331" s="22" t="str">
        <f aca="false">IF(C331=D331,"событие",IF(D331&gt;=2026,IF(A331="Личности","жив","существует"),"в прошлом"))</f>
        <v>в прошлом</v>
      </c>
      <c r="F331" s="23" t="n">
        <f aca="false">IF(C331=D331,"",D331-C331)</f>
        <v>83</v>
      </c>
      <c r="G331" s="23"/>
      <c r="H331" s="19" t="s">
        <v>182</v>
      </c>
      <c r="I331" s="24"/>
      <c r="M331" s="25"/>
      <c r="W331" s="25"/>
      <c r="AG331" s="25"/>
      <c r="AQ331" s="25"/>
      <c r="BA331" s="25"/>
      <c r="BK331" s="25"/>
      <c r="BU331" s="25"/>
      <c r="CE331" s="25"/>
      <c r="CO331" s="25"/>
      <c r="CY331" s="25"/>
      <c r="DI331" s="25"/>
      <c r="DS331" s="25"/>
      <c r="EC331" s="25"/>
      <c r="EM331" s="25"/>
      <c r="EW331" s="25"/>
      <c r="EZ331" s="36" t="str">
        <f aca="false">IF(AND(D331&gt;=2026,C331&lt;D331),"▶","")</f>
        <v/>
      </c>
    </row>
    <row r="332" customFormat="false" ht="12.75" hidden="false" customHeight="true" outlineLevel="0" collapsed="false">
      <c r="A332" s="19" t="s">
        <v>366</v>
      </c>
      <c r="B332" s="27" t="s">
        <v>446</v>
      </c>
      <c r="C332" s="21" t="n">
        <v>1957</v>
      </c>
      <c r="D332" s="21" t="n">
        <v>2011</v>
      </c>
      <c r="E332" s="22" t="str">
        <f aca="false">IF(C332=D332,"событие",IF(D332&gt;=2026,IF(A332="Личности","жив","существует"),"в прошлом"))</f>
        <v>в прошлом</v>
      </c>
      <c r="F332" s="23" t="n">
        <f aca="false">IF(C332=D332,"",D332-C332)</f>
        <v>54</v>
      </c>
      <c r="G332" s="23"/>
      <c r="H332" s="19" t="s">
        <v>357</v>
      </c>
      <c r="I332" s="24"/>
      <c r="M332" s="25"/>
      <c r="W332" s="25"/>
      <c r="AG332" s="25"/>
      <c r="AQ332" s="25"/>
      <c r="BA332" s="25"/>
      <c r="BK332" s="25"/>
      <c r="BU332" s="25"/>
      <c r="CE332" s="25"/>
      <c r="CO332" s="25"/>
      <c r="CY332" s="25"/>
      <c r="DI332" s="25"/>
      <c r="DS332" s="25"/>
      <c r="EC332" s="25"/>
      <c r="EM332" s="25"/>
      <c r="EW332" s="25"/>
      <c r="EZ332" s="68" t="str">
        <f aca="false">IF(AND(D332&gt;=2026,C332&lt;D332),"▶","")</f>
        <v/>
      </c>
    </row>
    <row r="333" customFormat="false" ht="12.75" hidden="false" customHeight="true" outlineLevel="0" collapsed="false">
      <c r="A333" s="19" t="s">
        <v>366</v>
      </c>
      <c r="B333" s="27" t="s">
        <v>447</v>
      </c>
      <c r="C333" s="21" t="n">
        <v>1969</v>
      </c>
      <c r="D333" s="21" t="n">
        <v>2026</v>
      </c>
      <c r="E333" s="22" t="str">
        <f aca="false">IF(C333=D333,"событие",IF(D333&gt;=2026,IF(A333="Личности","жив","существует"),"в прошлом"))</f>
        <v>жив</v>
      </c>
      <c r="F333" s="23" t="n">
        <f aca="false">IF(C333=D333,"",D333-C333)</f>
        <v>57</v>
      </c>
      <c r="G333" s="23"/>
      <c r="H333" s="19" t="s">
        <v>150</v>
      </c>
      <c r="I333" s="24"/>
      <c r="M333" s="25"/>
      <c r="W333" s="25"/>
      <c r="AG333" s="25"/>
      <c r="AQ333" s="25"/>
      <c r="BA333" s="25"/>
      <c r="BK333" s="25"/>
      <c r="BU333" s="25"/>
      <c r="CE333" s="25"/>
      <c r="CO333" s="25"/>
      <c r="CY333" s="25"/>
      <c r="DI333" s="25"/>
      <c r="DS333" s="25"/>
      <c r="EC333" s="25"/>
      <c r="EM333" s="25"/>
      <c r="EW333" s="25"/>
      <c r="EZ333" s="35" t="str">
        <f aca="false">IF(AND(D333&gt;=2026,C333&lt;D333),"▶","")</f>
        <v>▶</v>
      </c>
    </row>
    <row r="334" customFormat="false" ht="12.75" hidden="false" customHeight="true" outlineLevel="0" collapsed="false">
      <c r="A334" s="19" t="s">
        <v>366</v>
      </c>
      <c r="B334" s="27" t="s">
        <v>448</v>
      </c>
      <c r="C334" s="21" t="n">
        <v>1971</v>
      </c>
      <c r="D334" s="21" t="n">
        <v>2026</v>
      </c>
      <c r="E334" s="22" t="str">
        <f aca="false">IF(C334=D334,"событие",IF(D334&gt;=2026,IF(A334="Личности","жив","существует"),"в прошлом"))</f>
        <v>жив</v>
      </c>
      <c r="F334" s="23" t="n">
        <f aca="false">IF(C334=D334,"",D334-C334)</f>
        <v>55</v>
      </c>
      <c r="G334" s="23"/>
      <c r="H334" s="19" t="s">
        <v>150</v>
      </c>
      <c r="I334" s="24"/>
      <c r="M334" s="25"/>
      <c r="W334" s="25"/>
      <c r="AG334" s="25"/>
      <c r="AQ334" s="25"/>
      <c r="BA334" s="25"/>
      <c r="BK334" s="25"/>
      <c r="BU334" s="25"/>
      <c r="CE334" s="25"/>
      <c r="CO334" s="25"/>
      <c r="CY334" s="25"/>
      <c r="DI334" s="25"/>
      <c r="DS334" s="25"/>
      <c r="EC334" s="25"/>
      <c r="EM334" s="25"/>
      <c r="EW334" s="25"/>
      <c r="EZ334" s="35" t="str">
        <f aca="false">IF(AND(D334&gt;=2026,C334&lt;D334),"▶","")</f>
        <v>▶</v>
      </c>
    </row>
    <row r="336" customFormat="false" ht="15" hidden="false" customHeight="false" outlineLevel="0" collapsed="false">
      <c r="A336" s="69" t="s">
        <v>449</v>
      </c>
    </row>
    <row r="337" customFormat="false" ht="15" hidden="false" customHeight="false" outlineLevel="0" collapsed="false">
      <c r="A337" s="70" t="s">
        <v>450</v>
      </c>
    </row>
    <row r="338" customFormat="false" ht="15" hidden="false" customHeight="false" outlineLevel="0" collapsed="false">
      <c r="A338" s="70" t="s">
        <v>451</v>
      </c>
    </row>
    <row r="339" customFormat="false" ht="15" hidden="false" customHeight="false" outlineLevel="0" collapsed="false">
      <c r="A339" s="70" t="s">
        <v>452</v>
      </c>
    </row>
    <row r="340" customFormat="false" ht="15" hidden="false" customHeight="false" outlineLevel="0" collapsed="false">
      <c r="A340" s="70" t="s">
        <v>453</v>
      </c>
    </row>
    <row r="341" customFormat="false" ht="15" hidden="false" customHeight="false" outlineLevel="0" collapsed="false">
      <c r="A341" s="70" t="s">
        <v>454</v>
      </c>
    </row>
  </sheetData>
  <autoFilter ref="A8:G334"/>
  <mergeCells count="40">
    <mergeCell ref="J5:P5"/>
    <mergeCell ref="Q5:S5"/>
    <mergeCell ref="T5:AA5"/>
    <mergeCell ref="AB5:AU5"/>
    <mergeCell ref="AV5:BZ5"/>
    <mergeCell ref="CA5:CX5"/>
    <mergeCell ref="CY5:EB5"/>
    <mergeCell ref="EC5:EO5"/>
    <mergeCell ref="EP5:ET5"/>
    <mergeCell ref="EU5:EY5"/>
    <mergeCell ref="J6:L6"/>
    <mergeCell ref="M6:Q6"/>
    <mergeCell ref="R6:V6"/>
    <mergeCell ref="W6:AA6"/>
    <mergeCell ref="AB6:AF6"/>
    <mergeCell ref="AG6:AK6"/>
    <mergeCell ref="AL6:AP6"/>
    <mergeCell ref="AQ6:AU6"/>
    <mergeCell ref="AV6:AZ6"/>
    <mergeCell ref="BA6:BE6"/>
    <mergeCell ref="BF6:BJ6"/>
    <mergeCell ref="BK6:BO6"/>
    <mergeCell ref="BP6:BT6"/>
    <mergeCell ref="BU6:BY6"/>
    <mergeCell ref="BZ6:CD6"/>
    <mergeCell ref="CE6:CI6"/>
    <mergeCell ref="CJ6:CN6"/>
    <mergeCell ref="CO6:CS6"/>
    <mergeCell ref="CT6:CX6"/>
    <mergeCell ref="CY6:DC6"/>
    <mergeCell ref="DD6:DH6"/>
    <mergeCell ref="DI6:DM6"/>
    <mergeCell ref="DN6:DR6"/>
    <mergeCell ref="DS6:DW6"/>
    <mergeCell ref="DX6:EB6"/>
    <mergeCell ref="EC6:EG6"/>
    <mergeCell ref="EH6:EL6"/>
    <mergeCell ref="EM6:EQ6"/>
    <mergeCell ref="ER6:EV6"/>
    <mergeCell ref="EW6:EY6"/>
  </mergeCells>
  <conditionalFormatting sqref="J9:EY334">
    <cfRule type="expression" priority="2" aboveAverage="0" equalAverage="0" bottom="0" percent="0" rank="0" text="" dxfId="16">
      <formula>AND(J$7&lt;=$D9,J$7+10&gt;$C9,$H9="sun")</formula>
    </cfRule>
    <cfRule type="expression" priority="3" aboveAverage="0" equalAverage="0" bottom="0" percent="0" rank="0" text="" dxfId="17">
      <formula>AND(J$7&lt;=$D9,J$7+10&gt;$C9,$H9="shi")</formula>
    </cfRule>
    <cfRule type="expression" priority="4" aboveAverage="0" equalAverage="0" bottom="0" percent="0" rank="0" text="" dxfId="18">
      <formula>AND(J$7&lt;=$D9,J$7+10&gt;$C9,$H9="kha")</formula>
    </cfRule>
    <cfRule type="expression" priority="5" aboveAverage="0" equalAverage="0" bottom="0" percent="0" rank="0" text="" dxfId="19">
      <formula>AND(J$7&lt;=$D9,J$7+10&gt;$C9,$H9="kal")</formula>
    </cfRule>
    <cfRule type="expression" priority="6" aboveAverage="0" equalAverage="0" bottom="0" percent="0" rank="0" text="" dxfId="20">
      <formula>AND(J$7&lt;=$D9,J$7+10&gt;$C9,$H9="suf")</formula>
    </cfRule>
    <cfRule type="expression" priority="7" aboveAverage="0" equalAverage="0" bottom="0" percent="0" rank="0" text="" dxfId="21">
      <formula>AND(J$7&lt;=$D9,J$7+10&gt;$C9,$H9="mod")</formula>
    </cfRule>
    <cfRule type="expression" priority="8" aboveAverage="0" equalAverage="0" bottom="0" percent="0" rank="0" text="" dxfId="22">
      <formula>AND(J$7&lt;=$D9,J$7+10&gt;$C9,$H9="ext")</formula>
    </cfRule>
    <cfRule type="expression" priority="9" aboveAverage="0" equalAverage="0" bottom="0" percent="0" rank="0" text="" dxfId="23">
      <formula>AND(J$7&lt;=$D9,J$7+10&gt;$C9,$H9="het")</formula>
    </cfRule>
    <cfRule type="expression" priority="10" aboveAverage="0" equalAverage="0" bottom="0" percent="0" rank="0" text="" dxfId="24">
      <formula>AND(J$7&lt;=$D9,J$7+10&gt;$C9,$H9="mix")</formula>
    </cfRule>
    <cfRule type="expression" priority="11" aboveAverage="0" equalAverage="0" bottom="0" percent="0" rank="0" text="" dxfId="25">
      <formula>AND(J$7&lt;=$D9,J$7+10&gt;$C9,$H9="gold")</formula>
    </cfRule>
    <cfRule type="expression" priority="12" aboveAverage="0" equalAverage="0" bottom="0" percent="0" rank="0" text="" dxfId="21">
      <formula>AND(J$7&lt;=$D9,J$7+10&gt;$C9,$H9="pol")</formula>
    </cfRule>
    <cfRule type="expression" priority="13" aboveAverage="0" equalAverage="0" bottom="0" percent="0" rank="0" text="" dxfId="25">
      <formula>AND(J$7&lt;=$D9,J$7+10&gt;$C9,$H9="ev")</formula>
    </cfRule>
    <cfRule type="expression" priority="14" aboveAverage="0" equalAverage="0" bottom="0" percent="0" rank="0" text="" dxfId="26">
      <formula>AND(J$7&lt;=$D9,J$7+10&gt;$C9,$H9="ev2")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92B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71" t="s">
        <v>455</v>
      </c>
    </row>
    <row r="2" customFormat="false" ht="15" hidden="false" customHeight="false" outlineLevel="0" collapsed="false">
      <c r="A2" s="72" t="s">
        <v>456</v>
      </c>
    </row>
    <row r="4" customFormat="false" ht="30" hidden="false" customHeight="true" outlineLevel="0" collapsed="false">
      <c r="A4" s="73" t="s">
        <v>46</v>
      </c>
      <c r="B4" s="73" t="s">
        <v>457</v>
      </c>
      <c r="C4" s="73" t="s">
        <v>458</v>
      </c>
      <c r="D4" s="73" t="s">
        <v>459</v>
      </c>
      <c r="E4" s="73" t="s">
        <v>460</v>
      </c>
      <c r="F4" s="73" t="s">
        <v>461</v>
      </c>
      <c r="G4" s="73" t="s">
        <v>462</v>
      </c>
    </row>
    <row r="5" customFormat="false" ht="15" hidden="false" customHeight="false" outlineLevel="0" collapsed="false">
      <c r="A5" s="74" t="s">
        <v>56</v>
      </c>
      <c r="B5" s="74" t="n">
        <f aca="false">COUNTIF(Инфографика!$A$9:$A$334,A5)</f>
        <v>73</v>
      </c>
      <c r="C5" s="74" t="n">
        <f aca="false">COUNTIFS(Инфографика!$A$9:$A$334,A5,Инфографика!$E$9:$E$334,"существует")+COUNTIFS(Инфографика!$A$9:$A$334,A5,Инфографика!$E$9:$E$334,"жив")</f>
        <v>0</v>
      </c>
      <c r="D5" s="74" t="n">
        <f aca="false">B5-C5</f>
        <v>73</v>
      </c>
      <c r="E5" s="74" t="n">
        <f aca="false">_xlfn.MINIFS(Инфографика!$C$9:$C$334,Инфографика!$A$9:$A$334,A5)</f>
        <v>570</v>
      </c>
      <c r="F5" s="74" t="n">
        <f aca="false">_xlfn.MAXIFS(Инфографика!$C$9:$C$334,Инфографика!$A$9:$A$334,A5)</f>
        <v>2026</v>
      </c>
      <c r="G5" s="75" t="n">
        <f aca="false">IF(B5=0,"-",C5/B5)</f>
        <v>0</v>
      </c>
    </row>
    <row r="6" customFormat="false" ht="15" hidden="false" customHeight="false" outlineLevel="0" collapsed="false">
      <c r="A6" s="74" t="s">
        <v>134</v>
      </c>
      <c r="B6" s="74" t="n">
        <f aca="false">COUNTIF(Инфографика!$A$9:$A$334,A6)</f>
        <v>53</v>
      </c>
      <c r="C6" s="74" t="n">
        <f aca="false">COUNTIFS(Инфографика!$A$9:$A$334,A6,Инфографика!$E$9:$E$334,"существует")+COUNTIFS(Инфографика!$A$9:$A$334,A6,Инфографика!$E$9:$E$334,"жив")</f>
        <v>6</v>
      </c>
      <c r="D6" s="74" t="n">
        <f aca="false">B6-C6</f>
        <v>47</v>
      </c>
      <c r="E6" s="74" t="n">
        <f aca="false">_xlfn.MINIFS(Инфографика!$C$9:$C$334,Инфографика!$A$9:$A$334,A6)</f>
        <v>622</v>
      </c>
      <c r="F6" s="74" t="n">
        <f aca="false">_xlfn.MAXIFS(Инфографика!$C$9:$C$334,Инфографика!$A$9:$A$334,A6)</f>
        <v>2021</v>
      </c>
      <c r="G6" s="75" t="n">
        <f aca="false">IF(B6=0,"-",C6/B6)</f>
        <v>0.113207547169811</v>
      </c>
    </row>
    <row r="7" customFormat="false" ht="15" hidden="false" customHeight="false" outlineLevel="0" collapsed="false">
      <c r="A7" s="74" t="s">
        <v>192</v>
      </c>
      <c r="B7" s="74" t="n">
        <f aca="false">COUNTIF(Инфографика!$A$9:$A$334,A7)</f>
        <v>7</v>
      </c>
      <c r="C7" s="74" t="n">
        <f aca="false">COUNTIFS(Инфографика!$A$9:$A$334,A7,Инфографика!$E$9:$E$334,"существует")+COUNTIFS(Инфографика!$A$9:$A$334,A7,Инфографика!$E$9:$E$334,"жив")</f>
        <v>1</v>
      </c>
      <c r="D7" s="74" t="n">
        <f aca="false">B7-C7</f>
        <v>6</v>
      </c>
      <c r="E7" s="74" t="n">
        <f aca="false">_xlfn.MINIFS(Инфографика!$C$9:$C$334,Инфографика!$A$9:$A$334,A7)</f>
        <v>657</v>
      </c>
      <c r="F7" s="74" t="n">
        <f aca="false">_xlfn.MAXIFS(Инфографика!$C$9:$C$334,Инфографика!$A$9:$A$334,A7)</f>
        <v>784</v>
      </c>
      <c r="G7" s="75" t="n">
        <f aca="false">IF(B7=0,"-",C7/B7)</f>
        <v>0.142857142857143</v>
      </c>
    </row>
    <row r="8" customFormat="false" ht="15" hidden="false" customHeight="false" outlineLevel="0" collapsed="false">
      <c r="A8" s="74" t="s">
        <v>204</v>
      </c>
      <c r="B8" s="74" t="n">
        <f aca="false">COUNTIF(Инфографика!$A$9:$A$334,A8)</f>
        <v>29</v>
      </c>
      <c r="C8" s="74" t="n">
        <f aca="false">COUNTIFS(Инфографика!$A$9:$A$334,A8,Инфографика!$E$9:$E$334,"существует")+COUNTIFS(Инфографика!$A$9:$A$334,A8,Инфографика!$E$9:$E$334,"жив")</f>
        <v>15</v>
      </c>
      <c r="D8" s="74" t="n">
        <f aca="false">B8-C8</f>
        <v>14</v>
      </c>
      <c r="E8" s="74" t="n">
        <f aca="false">_xlfn.MINIFS(Инфографика!$C$9:$C$334,Инфографика!$A$9:$A$334,A8)</f>
        <v>632</v>
      </c>
      <c r="F8" s="74" t="n">
        <f aca="false">_xlfn.MAXIFS(Инфографика!$C$9:$C$334,Инфографика!$A$9:$A$334,A8)</f>
        <v>1992</v>
      </c>
      <c r="G8" s="75" t="n">
        <f aca="false">IF(B8=0,"-",C8/B8)</f>
        <v>0.517241379310345</v>
      </c>
    </row>
    <row r="9" customFormat="false" ht="15" hidden="false" customHeight="false" outlineLevel="0" collapsed="false">
      <c r="A9" s="74" t="s">
        <v>253</v>
      </c>
      <c r="B9" s="74" t="n">
        <f aca="false">COUNTIF(Инфографика!$A$9:$A$334,A9)</f>
        <v>13</v>
      </c>
      <c r="C9" s="74" t="n">
        <f aca="false">COUNTIFS(Инфографика!$A$9:$A$334,A9,Инфографика!$E$9:$E$334,"существует")+COUNTIFS(Инфографика!$A$9:$A$334,A9,Инфографика!$E$9:$E$334,"жив")</f>
        <v>7</v>
      </c>
      <c r="D9" s="74" t="n">
        <f aca="false">B9-C9</f>
        <v>6</v>
      </c>
      <c r="E9" s="74" t="n">
        <f aca="false">_xlfn.MINIFS(Инфографика!$C$9:$C$334,Инфографика!$A$9:$A$334,A9)</f>
        <v>632</v>
      </c>
      <c r="F9" s="74" t="n">
        <f aca="false">_xlfn.MAXIFS(Инфографика!$C$9:$C$334,Инфографика!$A$9:$A$334,A9)</f>
        <v>930</v>
      </c>
      <c r="G9" s="75" t="n">
        <f aca="false">IF(B9=0,"-",C9/B9)</f>
        <v>0.538461538461538</v>
      </c>
    </row>
    <row r="10" customFormat="false" ht="15" hidden="false" customHeight="false" outlineLevel="0" collapsed="false">
      <c r="A10" s="74" t="s">
        <v>272</v>
      </c>
      <c r="B10" s="74" t="n">
        <f aca="false">COUNTIF(Инфографика!$A$9:$A$334,A10)</f>
        <v>10</v>
      </c>
      <c r="C10" s="74" t="n">
        <f aca="false">COUNTIFS(Инфографика!$A$9:$A$334,A10,Инфографика!$E$9:$E$334,"существует")+COUNTIFS(Инфографика!$A$9:$A$334,A10,Инфографика!$E$9:$E$334,"жив")</f>
        <v>1</v>
      </c>
      <c r="D10" s="74" t="n">
        <f aca="false">B10-C10</f>
        <v>9</v>
      </c>
      <c r="E10" s="74" t="n">
        <f aca="false">_xlfn.MINIFS(Инфографика!$C$9:$C$334,Инфографика!$A$9:$A$334,A10)</f>
        <v>690</v>
      </c>
      <c r="F10" s="74" t="n">
        <f aca="false">_xlfn.MAXIFS(Инфографика!$C$9:$C$334,Инфографика!$A$9:$A$334,A10)</f>
        <v>1870</v>
      </c>
      <c r="G10" s="75" t="n">
        <f aca="false">IF(B10=0,"-",C10/B10)</f>
        <v>0.1</v>
      </c>
    </row>
    <row r="11" customFormat="false" ht="15" hidden="false" customHeight="false" outlineLevel="0" collapsed="false">
      <c r="A11" s="74" t="s">
        <v>289</v>
      </c>
      <c r="B11" s="74" t="n">
        <f aca="false">COUNTIF(Инфографика!$A$9:$A$334,A11)</f>
        <v>22</v>
      </c>
      <c r="C11" s="74" t="n">
        <f aca="false">COUNTIFS(Инфографика!$A$9:$A$334,A11,Инфографика!$E$9:$E$334,"существует")+COUNTIFS(Инфографика!$A$9:$A$334,A11,Инфографика!$E$9:$E$334,"жив")</f>
        <v>19</v>
      </c>
      <c r="D11" s="74" t="n">
        <f aca="false">B11-C11</f>
        <v>3</v>
      </c>
      <c r="E11" s="74" t="n">
        <f aca="false">_xlfn.MINIFS(Инфографика!$C$9:$C$334,Инфографика!$A$9:$A$334,A11)</f>
        <v>700</v>
      </c>
      <c r="F11" s="74" t="n">
        <f aca="false">_xlfn.MAXIFS(Инфографика!$C$9:$C$334,Инфографика!$A$9:$A$334,A11)</f>
        <v>1883</v>
      </c>
      <c r="G11" s="75" t="n">
        <f aca="false">IF(B11=0,"-",C11/B11)</f>
        <v>0.863636363636364</v>
      </c>
    </row>
    <row r="12" customFormat="false" ht="15" hidden="false" customHeight="false" outlineLevel="0" collapsed="false">
      <c r="A12" s="74" t="s">
        <v>322</v>
      </c>
      <c r="B12" s="74" t="n">
        <f aca="false">COUNTIF(Инфографика!$A$9:$A$334,A12)</f>
        <v>23</v>
      </c>
      <c r="C12" s="74" t="n">
        <f aca="false">COUNTIFS(Инфографика!$A$9:$A$334,A12,Инфографика!$E$9:$E$334,"существует")+COUNTIFS(Инфографика!$A$9:$A$334,A12,Инфографика!$E$9:$E$334,"жив")</f>
        <v>18</v>
      </c>
      <c r="D12" s="74" t="n">
        <f aca="false">B12-C12</f>
        <v>5</v>
      </c>
      <c r="E12" s="74" t="n">
        <f aca="false">_xlfn.MINIFS(Инфографика!$C$9:$C$334,Инфографика!$A$9:$A$334,A12)</f>
        <v>1744</v>
      </c>
      <c r="F12" s="74" t="n">
        <f aca="false">_xlfn.MAXIFS(Инфографика!$C$9:$C$334,Инфографика!$A$9:$A$334,A12)</f>
        <v>1987</v>
      </c>
      <c r="G12" s="75" t="n">
        <f aca="false">IF(B12=0,"-",C12/B12)</f>
        <v>0.782608695652174</v>
      </c>
    </row>
    <row r="13" customFormat="false" ht="15" hidden="false" customHeight="false" outlineLevel="0" collapsed="false">
      <c r="A13" s="74" t="s">
        <v>354</v>
      </c>
      <c r="B13" s="74" t="n">
        <f aca="false">COUNTIF(Инфографика!$A$9:$A$334,A13)</f>
        <v>5</v>
      </c>
      <c r="C13" s="74" t="n">
        <f aca="false">COUNTIFS(Инфографика!$A$9:$A$334,A13,Инфографика!$E$9:$E$334,"существует")+COUNTIFS(Инфографика!$A$9:$A$334,A13,Инфографика!$E$9:$E$334,"жив")</f>
        <v>3</v>
      </c>
      <c r="D13" s="74" t="n">
        <f aca="false">B13-C13</f>
        <v>2</v>
      </c>
      <c r="E13" s="74" t="n">
        <f aca="false">_xlfn.MINIFS(Инфографика!$C$9:$C$334,Инфографика!$A$9:$A$334,A13)</f>
        <v>1971</v>
      </c>
      <c r="F13" s="74" t="n">
        <f aca="false">_xlfn.MAXIFS(Инфографика!$C$9:$C$334,Инфографика!$A$9:$A$334,A13)</f>
        <v>2012</v>
      </c>
      <c r="G13" s="75" t="n">
        <f aca="false">IF(B13=0,"-",C13/B13)</f>
        <v>0.6</v>
      </c>
    </row>
    <row r="14" customFormat="false" ht="15" hidden="false" customHeight="false" outlineLevel="0" collapsed="false">
      <c r="A14" s="74" t="s">
        <v>366</v>
      </c>
      <c r="B14" s="74" t="n">
        <f aca="false">COUNTIF(Инфографика!$A$9:$A$334,A14)</f>
        <v>81</v>
      </c>
      <c r="C14" s="74" t="n">
        <f aca="false">COUNTIFS(Инфографика!$A$9:$A$334,A14,Инфографика!$E$9:$E$334,"существует")+COUNTIFS(Инфографика!$A$9:$A$334,A14,Инфографика!$E$9:$E$334,"жив")</f>
        <v>4</v>
      </c>
      <c r="D14" s="74" t="n">
        <f aca="false">B14-C14</f>
        <v>77</v>
      </c>
      <c r="E14" s="74" t="n">
        <f aca="false">_xlfn.MINIFS(Инфографика!$C$9:$C$334,Инфографика!$A$9:$A$334,A14)</f>
        <v>570</v>
      </c>
      <c r="F14" s="74" t="n">
        <f aca="false">_xlfn.MAXIFS(Инфографика!$C$9:$C$334,Инфографика!$A$9:$A$334,A14)</f>
        <v>1971</v>
      </c>
      <c r="G14" s="75" t="n">
        <f aca="false">IF(B14=0,"-",C14/B14)</f>
        <v>0.0493827160493827</v>
      </c>
    </row>
    <row r="15" customFormat="false" ht="15" hidden="false" customHeight="false" outlineLevel="0" collapsed="false">
      <c r="A15" s="76" t="s">
        <v>463</v>
      </c>
      <c r="B15" s="77" t="n">
        <f aca="false">SUM(B5:B14)</f>
        <v>316</v>
      </c>
      <c r="C15" s="77" t="n">
        <f aca="false">SUM(C5:C14)</f>
        <v>74</v>
      </c>
      <c r="D15" s="77" t="n">
        <f aca="false">SUM(D5:D14)</f>
        <v>242</v>
      </c>
      <c r="E15" s="77" t="n">
        <f aca="false">MIN(E5:E14)</f>
        <v>570</v>
      </c>
      <c r="F15" s="77" t="n">
        <f aca="false">MAX(F5:F14)</f>
        <v>2026</v>
      </c>
      <c r="G15" s="78" t="n">
        <f aca="false">IF(B15=0,"-",C15/B15)</f>
        <v>0.234177215189873</v>
      </c>
    </row>
    <row r="18" customFormat="false" ht="15" hidden="false" customHeight="false" outlineLevel="0" collapsed="false">
      <c r="A18" s="79" t="s">
        <v>464</v>
      </c>
    </row>
    <row r="19" customFormat="false" ht="15" hidden="false" customHeight="false" outlineLevel="0" collapsed="false">
      <c r="A19" s="74" t="s">
        <v>465</v>
      </c>
      <c r="B19" s="80" t="n">
        <v>2</v>
      </c>
    </row>
    <row r="20" customFormat="false" ht="15" hidden="false" customHeight="false" outlineLevel="0" collapsed="false">
      <c r="A20" s="74" t="s">
        <v>466</v>
      </c>
      <c r="B20" s="81" t="n">
        <v>0.256</v>
      </c>
    </row>
    <row r="21" customFormat="false" ht="15" hidden="false" customHeight="false" outlineLevel="0" collapsed="false">
      <c r="A21" s="74" t="s">
        <v>467</v>
      </c>
      <c r="B21" s="81" t="n">
        <v>0.875</v>
      </c>
    </row>
    <row r="22" customFormat="false" ht="15" hidden="false" customHeight="false" outlineLevel="0" collapsed="false">
      <c r="A22" s="74" t="s">
        <v>468</v>
      </c>
      <c r="B22" s="81" t="n">
        <v>0.115</v>
      </c>
    </row>
    <row r="23" customFormat="false" ht="15" hidden="false" customHeight="false" outlineLevel="0" collapsed="false">
      <c r="A23" s="74" t="s">
        <v>469</v>
      </c>
      <c r="B23" s="81" t="n">
        <v>0.002</v>
      </c>
    </row>
    <row r="24" customFormat="false" ht="15" hidden="false" customHeight="false" outlineLevel="0" collapsed="false">
      <c r="A24" s="74" t="s">
        <v>470</v>
      </c>
      <c r="B24" s="80" t="n">
        <v>57</v>
      </c>
    </row>
    <row r="25" customFormat="false" ht="15" hidden="false" customHeight="false" outlineLevel="0" collapsed="false">
      <c r="A25" s="74" t="s">
        <v>471</v>
      </c>
      <c r="B25" s="80" t="n">
        <v>2.8</v>
      </c>
    </row>
    <row r="26" customFormat="false" ht="15" hidden="false" customHeight="false" outlineLevel="0" collapsed="false">
      <c r="A26" s="82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83" t="s">
        <v>473</v>
      </c>
    </row>
    <row r="2" customFormat="false" ht="15" hidden="false" customHeight="false" outlineLevel="0" collapsed="false">
      <c r="A2" s="84"/>
    </row>
    <row r="3" customFormat="false" ht="15" hidden="false" customHeight="false" outlineLevel="0" collapsed="false">
      <c r="A3" s="85" t="s">
        <v>474</v>
      </c>
    </row>
    <row r="4" customFormat="false" ht="15" hidden="false" customHeight="false" outlineLevel="0" collapsed="false">
      <c r="A4" s="84" t="s">
        <v>475</v>
      </c>
    </row>
    <row r="5" customFormat="false" ht="15" hidden="false" customHeight="false" outlineLevel="0" collapsed="false">
      <c r="A5" s="84" t="s">
        <v>476</v>
      </c>
    </row>
    <row r="6" customFormat="false" ht="15" hidden="false" customHeight="false" outlineLevel="0" collapsed="false">
      <c r="A6" s="84" t="s">
        <v>477</v>
      </c>
    </row>
    <row r="7" customFormat="false" ht="15" hidden="false" customHeight="false" outlineLevel="0" collapsed="false">
      <c r="A7" s="84" t="s">
        <v>478</v>
      </c>
    </row>
    <row r="8" customFormat="false" ht="15" hidden="false" customHeight="false" outlineLevel="0" collapsed="false">
      <c r="A8" s="84"/>
    </row>
    <row r="9" customFormat="false" ht="15" hidden="false" customHeight="false" outlineLevel="0" collapsed="false">
      <c r="A9" s="85" t="s">
        <v>479</v>
      </c>
    </row>
    <row r="10" customFormat="false" ht="15" hidden="false" customHeight="false" outlineLevel="0" collapsed="false">
      <c r="A10" s="84" t="s">
        <v>480</v>
      </c>
    </row>
    <row r="11" customFormat="false" ht="15" hidden="false" customHeight="false" outlineLevel="0" collapsed="false">
      <c r="A11" s="84" t="s">
        <v>481</v>
      </c>
    </row>
    <row r="12" customFormat="false" ht="23.85" hidden="false" customHeight="false" outlineLevel="0" collapsed="false">
      <c r="A12" s="84" t="s">
        <v>482</v>
      </c>
    </row>
    <row r="13" customFormat="false" ht="15" hidden="false" customHeight="false" outlineLevel="0" collapsed="false">
      <c r="A13" s="84"/>
    </row>
    <row r="14" customFormat="false" ht="15" hidden="false" customHeight="false" outlineLevel="0" collapsed="false">
      <c r="A14" s="85" t="s">
        <v>483</v>
      </c>
    </row>
    <row r="15" customFormat="false" ht="15" hidden="false" customHeight="false" outlineLevel="0" collapsed="false">
      <c r="A15" s="84" t="s">
        <v>484</v>
      </c>
    </row>
    <row r="16" customFormat="false" ht="15" hidden="false" customHeight="false" outlineLevel="0" collapsed="false">
      <c r="A16" s="84" t="s">
        <v>485</v>
      </c>
    </row>
    <row r="17" customFormat="false" ht="15" hidden="false" customHeight="false" outlineLevel="0" collapsed="false">
      <c r="A17" s="84" t="s">
        <v>486</v>
      </c>
    </row>
    <row r="18" customFormat="false" ht="15" hidden="false" customHeight="false" outlineLevel="0" collapsed="false">
      <c r="A18" s="84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2026-09-30T17:59:54Z</dcterms:created>
  <dc:creator>openpyxl</dc:creator>
  <dc:description/>
  <dc:language>en-US</dc:language>
  <cp:lastModifiedBy/>
  <dcterms:modified xsi:type="dcterms:W3CDTF">2026-09-30T17:59:55Z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